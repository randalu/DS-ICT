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0622bd1d0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ee9bde93da6f4b19"/>
    <x:sheet xmlns:r="http://schemas.openxmlformats.org/officeDocument/2006/relationships" name="Retention" sheetId="2" r:id="R496c76e1c31f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243244"/>
      <x:name val="Arial"/>
    </x:font>
    <x:font>
      <x:b/>
      <x:sz val="14"/>
      <x:color rgb="FF24324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8DB"/>
      </x:patternFill>
    </x:fill>
    <x:fill>
      <x:patternFill patternType="solid">
        <x:fgColor rgb="FFF0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22E24"/>
      </x:font>
      <x:fill>
        <x:patternFill patternType="solid">
          <x:bgColor rgb="FFFFE2DE"/>
        </x:patternFill>
      </x:fill>
    </x:dxf>
    <x:dxf>
      <x:font>
        <x:b/>
      </x:font>
      <x:fill>
        <x:patternFill patternType="solid">
          <x:bgColor rgb="FFFFF0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f4f7a25584e31" /><Relationship Type="http://schemas.openxmlformats.org/officeDocument/2006/relationships/theme" Target="/xl/theme/theme1.xml" Id="R369cbbb852b947b2" /><Relationship Type="http://schemas.openxmlformats.org/officeDocument/2006/relationships/sharedStrings" Target="/xl/sharedStrings.xml" Id="Ra6e597263db04e5f" /><Relationship Type="http://schemas.openxmlformats.org/officeDocument/2006/relationships/worksheet" Target="/xl/worksheets/sheet1.xml" Id="Ree9bde93da6f4b19" /><Relationship Type="http://schemas.openxmlformats.org/officeDocument/2006/relationships/worksheet" Target="/xl/worksheets/sheet2.xml" Id="R496c76e1c31f454f" /></Relationships>
</file>

<file path=xl/tables/table1.xml><?xml version="1.0" encoding="utf-8"?>
<x:table xmlns:x="http://schemas.openxmlformats.org/spreadsheetml/2006/main" id="1" name="RecordsRegister" displayName="RecordsRegister" ref="A5:M205" headerRowCount="1" totalsRowCount="0" totalsRowShown="0">
  <x:tableColumns count="13">
    <x:tableColumn id="1" name="Record ref"/>
    <x:tableColumn id="2" name="Category"/>
    <x:tableColumn id="3" name="Booking/enquiry ref"/>
    <x:tableColumn id="4" name="Start date"/>
    <x:tableColumn id="5" name="Hold?"/>
    <x:tableColumn id="6" name="Copy locations/refs"/>
    <x:tableColumn id="7" name="Period"/>
    <x:tableColumn id="8" name="Unit"/>
    <x:tableColumn id="9" name="Review due"/>
    <x:tableColumn id="10" name="Review action"/>
    <x:tableColumn id="11" name="Reviewer"/>
    <x:tableColumn id="12" name="Reviewed on"/>
    <x:tableColumn id="13" name="Decision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607765ce36470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15" hidden="0" customWidth="1"/>
    <x:col min="5" max="5" width="10" hidden="0" customWidth="1"/>
    <x:col min="6" max="6" width="34" hidden="0" customWidth="1"/>
    <x:col min="7" max="7" width="10" hidden="0" customWidth="1"/>
    <x:col min="8" max="8" width="12" hidden="0" customWidth="1"/>
    <x:col min="9" max="9" width="15" hidden="0" customWidth="1"/>
    <x:col min="10" max="10" width="25" hidden="0" customWidth="1"/>
    <x:col min="11" max="11" width="15" hidden="0" customWidth="1"/>
    <x:col min="12" max="12" width="15" hidden="0" customWidth="1"/>
    <x:col min="13" max="13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Island Culture Travels record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Enter references, dates and copy locations. Review dates do not delete records; a hold always needs a manual decision.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Yellow cells are inputs. Refresh the Retention sheet from a new Admin download after changing settings. 200 prepared rows; copy formulas when extending.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6" t="str">
        <x:v>Record ref</x:v>
      </x:c>
      <x:c r="B5" s="6" t="str">
        <x:v>Category</x:v>
      </x:c>
      <x:c r="C5" s="6" t="str">
        <x:v>Booking/enquiry ref</x:v>
      </x:c>
      <x:c r="D5" s="6" t="str">
        <x:v>Start date</x:v>
      </x:c>
      <x:c r="E5" s="6" t="str">
        <x:v>Hold?</x:v>
      </x:c>
      <x:c r="F5" s="6" t="str">
        <x:v>Copy locations/refs</x:v>
      </x:c>
      <x:c r="G5" s="6" t="str">
        <x:v>Period</x:v>
      </x:c>
      <x:c r="H5" s="6" t="str">
        <x:v>Unit</x:v>
      </x:c>
      <x:c r="I5" s="6" t="str">
        <x:v>Review due</x:v>
      </x:c>
      <x:c r="J5" s="6" t="str">
        <x:v>Review action</x:v>
      </x:c>
      <x:c r="K5" s="6" t="str">
        <x:v>Reviewer</x:v>
      </x:c>
      <x:c r="L5" s="6" t="str">
        <x:v>Reviewed on</x:v>
      </x:c>
      <x:c r="M5" s="6" t="str">
        <x:v>Decision / next action</x:v>
      </x:c>
    </x:row>
    <x:row r="6" ht="25" customHeight="1">
      <x:c r="A6" s="7"/>
      <x:c r="B6" s="7"/>
      <x:c r="C6" s="7"/>
      <x:c r="D6" s="9"/>
      <x:c r="E6" s="7"/>
      <x:c r="F6" s="7"/>
      <x:c r="G6" s="8" t="str">
        <x:f>IF(OR(A6="",COUNTIFS(Retention!$A$6:$A$15,B6)&lt;&gt;1),"",INDEX(Retention!$C$6:$C$15,MATCH(B6,Retention!$A$6:$A$15,0)))</x:f>
      </x:c>
      <x:c r="H6" s="8" t="str">
        <x:f>IF(OR(A6="",COUNTIFS(Retention!$A$6:$A$15,B6)&lt;&gt;1),"",INDEX(Retention!$D$6:$D$15,MATCH(B6,Retention!$A$6:$A$15,0)))</x:f>
      </x:c>
      <x:c r="I6" s="10" t="str">
        <x:f>IF(OR(A6="",NOT(ISNUMBER(D6)),NOT(ISNUMBER(G6))),"",IF(G6&lt;1,"",IF(H6="months",EDATE(D6,G6),IF(H6="days",D6+G6,""))))</x:f>
      </x:c>
      <x:c r="J6" s="8" t="str">
        <x:f>IF(A6="","",IF(COUNTIFS(Retention!$A$6:$A$15,B6)&lt;&gt;1,"Check category",IF(NOT(ISNUMBER(D6)),"Set start date",IF(NOT(ISNUMBER(I6)),"Check rule",IF(AND(E6&lt;&gt;"Yes",E6&lt;&gt;"No"),"Set hold flag",IF(E6="Yes","Hold",IF(AND(K6&lt;&gt;"",ISNUMBER(L6),M6&lt;&gt;""),"Review recorded",IF(OR(K6&lt;&gt;"",L6&lt;&gt;"",M6&lt;&gt;""),"Complete review details",IF(I6&lt;=TODAY(),"Review due","Retain")))))))))</x:f>
      </x:c>
      <x:c r="K6" s="7"/>
      <x:c r="L6" s="9"/>
      <x:c r="M6" s="7"/>
    </x:row>
    <x:row r="7" ht="25" customHeight="1">
      <x:c r="A7" s="7"/>
      <x:c r="B7" s="7"/>
      <x:c r="C7" s="7"/>
      <x:c r="D7" s="9"/>
      <x:c r="E7" s="7"/>
      <x:c r="F7" s="7"/>
      <x:c r="G7" s="8" t="str">
        <x:f>IF(OR(A7="",COUNTIFS(Retention!$A$6:$A$15,B7)&lt;&gt;1),"",INDEX(Retention!$C$6:$C$15,MATCH(B7,Retention!$A$6:$A$15,0)))</x:f>
      </x:c>
      <x:c r="H7" s="8" t="str">
        <x:f>IF(OR(A7="",COUNTIFS(Retention!$A$6:$A$15,B7)&lt;&gt;1),"",INDEX(Retention!$D$6:$D$15,MATCH(B7,Retention!$A$6:$A$15,0)))</x:f>
      </x:c>
      <x:c r="I7" s="10" t="str">
        <x:f>IF(OR(A7="",NOT(ISNUMBER(D7)),NOT(ISNUMBER(G7))),"",IF(G7&lt;1,"",IF(H7="months",EDATE(D7,G7),IF(H7="days",D7+G7,""))))</x:f>
      </x:c>
      <x:c r="J7" s="8" t="str">
        <x:f>IF(A7="","",IF(COUNTIFS(Retention!$A$6:$A$15,B7)&lt;&gt;1,"Check category",IF(NOT(ISNUMBER(D7)),"Set start date",IF(NOT(ISNUMBER(I7)),"Check rule",IF(AND(E7&lt;&gt;"Yes",E7&lt;&gt;"No"),"Set hold flag",IF(E7="Yes","Hold",IF(AND(K7&lt;&gt;"",ISNUMBER(L7),M7&lt;&gt;""),"Review recorded",IF(OR(K7&lt;&gt;"",L7&lt;&gt;"",M7&lt;&gt;""),"Complete review details",IF(I7&lt;=TODAY(),"Review due","Retain")))))))))</x:f>
      </x:c>
      <x:c r="K7" s="7"/>
      <x:c r="L7" s="9"/>
      <x:c r="M7" s="7"/>
    </x:row>
    <x:row r="8" ht="25" customHeight="1">
      <x:c r="A8" s="7"/>
      <x:c r="B8" s="7"/>
      <x:c r="C8" s="7"/>
      <x:c r="D8" s="9"/>
      <x:c r="E8" s="7"/>
      <x:c r="F8" s="7"/>
      <x:c r="G8" s="8" t="str">
        <x:f>IF(OR(A8="",COUNTIFS(Retention!$A$6:$A$15,B8)&lt;&gt;1),"",INDEX(Retention!$C$6:$C$15,MATCH(B8,Retention!$A$6:$A$15,0)))</x:f>
      </x:c>
      <x:c r="H8" s="8" t="str">
        <x:f>IF(OR(A8="",COUNTIFS(Retention!$A$6:$A$15,B8)&lt;&gt;1),"",INDEX(Retention!$D$6:$D$15,MATCH(B8,Retention!$A$6:$A$15,0)))</x:f>
      </x:c>
      <x:c r="I8" s="10" t="str">
        <x:f>IF(OR(A8="",NOT(ISNUMBER(D8)),NOT(ISNUMBER(G8))),"",IF(G8&lt;1,"",IF(H8="months",EDATE(D8,G8),IF(H8="days",D8+G8,""))))</x:f>
      </x:c>
      <x:c r="J8" s="8" t="str">
        <x:f>IF(A8="","",IF(COUNTIFS(Retention!$A$6:$A$15,B8)&lt;&gt;1,"Check category",IF(NOT(ISNUMBER(D8)),"Set start date",IF(NOT(ISNUMBER(I8)),"Check rule",IF(AND(E8&lt;&gt;"Yes",E8&lt;&gt;"No"),"Set hold flag",IF(E8="Yes","Hold",IF(AND(K8&lt;&gt;"",ISNUMBER(L8),M8&lt;&gt;""),"Review recorded",IF(OR(K8&lt;&gt;"",L8&lt;&gt;"",M8&lt;&gt;""),"Complete review details",IF(I8&lt;=TODAY(),"Review due","Retain")))))))))</x:f>
      </x:c>
      <x:c r="K8" s="7"/>
      <x:c r="L8" s="9"/>
      <x:c r="M8" s="7"/>
    </x:row>
    <x:row r="9" ht="25" customHeight="1">
      <x:c r="A9" s="7"/>
      <x:c r="B9" s="7"/>
      <x:c r="C9" s="7"/>
      <x:c r="D9" s="9"/>
      <x:c r="E9" s="7"/>
      <x:c r="F9" s="7"/>
      <x:c r="G9" s="8" t="str">
        <x:f>IF(OR(A9="",COUNTIFS(Retention!$A$6:$A$15,B9)&lt;&gt;1),"",INDEX(Retention!$C$6:$C$15,MATCH(B9,Retention!$A$6:$A$15,0)))</x:f>
      </x:c>
      <x:c r="H9" s="8" t="str">
        <x:f>IF(OR(A9="",COUNTIFS(Retention!$A$6:$A$15,B9)&lt;&gt;1),"",INDEX(Retention!$D$6:$D$15,MATCH(B9,Retention!$A$6:$A$15,0)))</x:f>
      </x:c>
      <x:c r="I9" s="10" t="str">
        <x:f>IF(OR(A9="",NOT(ISNUMBER(D9)),NOT(ISNUMBER(G9))),"",IF(G9&lt;1,"",IF(H9="months",EDATE(D9,G9),IF(H9="days",D9+G9,""))))</x:f>
      </x:c>
      <x:c r="J9" s="8" t="str">
        <x:f>IF(A9="","",IF(COUNTIFS(Retention!$A$6:$A$15,B9)&lt;&gt;1,"Check category",IF(NOT(ISNUMBER(D9)),"Set start date",IF(NOT(ISNUMBER(I9)),"Check rule",IF(AND(E9&lt;&gt;"Yes",E9&lt;&gt;"No"),"Set hold flag",IF(E9="Yes","Hold",IF(AND(K9&lt;&gt;"",ISNUMBER(L9),M9&lt;&gt;""),"Review recorded",IF(OR(K9&lt;&gt;"",L9&lt;&gt;"",M9&lt;&gt;""),"Complete review details",IF(I9&lt;=TODAY(),"Review due","Retain")))))))))</x:f>
      </x:c>
      <x:c r="K9" s="7"/>
      <x:c r="L9" s="9"/>
      <x:c r="M9" s="7"/>
    </x:row>
    <x:row r="10" ht="25" customHeight="1">
      <x:c r="A10" s="7"/>
      <x:c r="B10" s="7"/>
      <x:c r="C10" s="7"/>
      <x:c r="D10" s="9"/>
      <x:c r="E10" s="7"/>
      <x:c r="F10" s="7"/>
      <x:c r="G10" s="8" t="str">
        <x:f>IF(OR(A10="",COUNTIFS(Retention!$A$6:$A$15,B10)&lt;&gt;1),"",INDEX(Retention!$C$6:$C$15,MATCH(B10,Retention!$A$6:$A$15,0)))</x:f>
      </x:c>
      <x:c r="H10" s="8" t="str">
        <x:f>IF(OR(A10="",COUNTIFS(Retention!$A$6:$A$15,B10)&lt;&gt;1),"",INDEX(Retention!$D$6:$D$15,MATCH(B10,Retention!$A$6:$A$15,0)))</x:f>
      </x:c>
      <x:c r="I10" s="10" t="str">
        <x:f>IF(OR(A10="",NOT(ISNUMBER(D10)),NOT(ISNUMBER(G10))),"",IF(G10&lt;1,"",IF(H10="months",EDATE(D10,G10),IF(H10="days",D10+G10,""))))</x:f>
      </x:c>
      <x:c r="J10" s="8" t="str">
        <x:f>IF(A10="","",IF(COUNTIFS(Retention!$A$6:$A$15,B10)&lt;&gt;1,"Check category",IF(NOT(ISNUMBER(D10)),"Set start date",IF(NOT(ISNUMBER(I10)),"Check rule",IF(AND(E10&lt;&gt;"Yes",E10&lt;&gt;"No"),"Set hold flag",IF(E10="Yes","Hold",IF(AND(K10&lt;&gt;"",ISNUMBER(L10),M10&lt;&gt;""),"Review recorded",IF(OR(K10&lt;&gt;"",L10&lt;&gt;"",M10&lt;&gt;""),"Complete review details",IF(I10&lt;=TODAY(),"Review due","Retain")))))))))</x:f>
      </x:c>
      <x:c r="K10" s="7"/>
      <x:c r="L10" s="9"/>
      <x:c r="M10" s="7"/>
    </x:row>
    <x:row r="11" ht="25" customHeight="1">
      <x:c r="A11" s="7"/>
      <x:c r="B11" s="7"/>
      <x:c r="C11" s="7"/>
      <x:c r="D11" s="9"/>
      <x:c r="E11" s="7"/>
      <x:c r="F11" s="7"/>
      <x:c r="G11" s="8" t="str">
        <x:f>IF(OR(A11="",COUNTIFS(Retention!$A$6:$A$15,B11)&lt;&gt;1),"",INDEX(Retention!$C$6:$C$15,MATCH(B11,Retention!$A$6:$A$15,0)))</x:f>
      </x:c>
      <x:c r="H11" s="8" t="str">
        <x:f>IF(OR(A11="",COUNTIFS(Retention!$A$6:$A$15,B11)&lt;&gt;1),"",INDEX(Retention!$D$6:$D$15,MATCH(B11,Retention!$A$6:$A$15,0)))</x:f>
      </x:c>
      <x:c r="I11" s="10" t="str">
        <x:f>IF(OR(A11="",NOT(ISNUMBER(D11)),NOT(ISNUMBER(G11))),"",IF(G11&lt;1,"",IF(H11="months",EDATE(D11,G11),IF(H11="days",D11+G11,""))))</x:f>
      </x:c>
      <x:c r="J11" s="8" t="str">
        <x:f>IF(A11="","",IF(COUNTIFS(Retention!$A$6:$A$15,B11)&lt;&gt;1,"Check category",IF(NOT(ISNUMBER(D11)),"Set start date",IF(NOT(ISNUMBER(I11)),"Check rule",IF(AND(E11&lt;&gt;"Yes",E11&lt;&gt;"No"),"Set hold flag",IF(E11="Yes","Hold",IF(AND(K11&lt;&gt;"",ISNUMBER(L11),M11&lt;&gt;""),"Review recorded",IF(OR(K11&lt;&gt;"",L11&lt;&gt;"",M11&lt;&gt;""),"Complete review details",IF(I11&lt;=TODAY(),"Review due","Retain")))))))))</x:f>
      </x:c>
      <x:c r="K11" s="7"/>
      <x:c r="L11" s="9"/>
      <x:c r="M11" s="7"/>
    </x:row>
    <x:row r="12" ht="25" customHeight="1">
      <x:c r="A12" s="7"/>
      <x:c r="B12" s="7"/>
      <x:c r="C12" s="7"/>
      <x:c r="D12" s="9"/>
      <x:c r="E12" s="7"/>
      <x:c r="F12" s="7"/>
      <x:c r="G12" s="8" t="str">
        <x:f>IF(OR(A12="",COUNTIFS(Retention!$A$6:$A$15,B12)&lt;&gt;1),"",INDEX(Retention!$C$6:$C$15,MATCH(B12,Retention!$A$6:$A$15,0)))</x:f>
      </x:c>
      <x:c r="H12" s="8" t="str">
        <x:f>IF(OR(A12="",COUNTIFS(Retention!$A$6:$A$15,B12)&lt;&gt;1),"",INDEX(Retention!$D$6:$D$15,MATCH(B12,Retention!$A$6:$A$15,0)))</x:f>
      </x:c>
      <x:c r="I12" s="10" t="str">
        <x:f>IF(OR(A12="",NOT(ISNUMBER(D12)),NOT(ISNUMBER(G12))),"",IF(G12&lt;1,"",IF(H12="months",EDATE(D12,G12),IF(H12="days",D12+G12,""))))</x:f>
      </x:c>
      <x:c r="J12" s="8" t="str">
        <x:f>IF(A12="","",IF(COUNTIFS(Retention!$A$6:$A$15,B12)&lt;&gt;1,"Check category",IF(NOT(ISNUMBER(D12)),"Set start date",IF(NOT(ISNUMBER(I12)),"Check rule",IF(AND(E12&lt;&gt;"Yes",E12&lt;&gt;"No"),"Set hold flag",IF(E12="Yes","Hold",IF(AND(K12&lt;&gt;"",ISNUMBER(L12),M12&lt;&gt;""),"Review recorded",IF(OR(K12&lt;&gt;"",L12&lt;&gt;"",M12&lt;&gt;""),"Complete review details",IF(I12&lt;=TODAY(),"Review due","Retain")))))))))</x:f>
      </x:c>
      <x:c r="K12" s="7"/>
      <x:c r="L12" s="9"/>
      <x:c r="M12" s="7"/>
    </x:row>
    <x:row r="13" ht="25" customHeight="1">
      <x:c r="A13" s="7"/>
      <x:c r="B13" s="7"/>
      <x:c r="C13" s="7"/>
      <x:c r="D13" s="9"/>
      <x:c r="E13" s="7"/>
      <x:c r="F13" s="7"/>
      <x:c r="G13" s="8" t="str">
        <x:f>IF(OR(A13="",COUNTIFS(Retention!$A$6:$A$15,B13)&lt;&gt;1),"",INDEX(Retention!$C$6:$C$15,MATCH(B13,Retention!$A$6:$A$15,0)))</x:f>
      </x:c>
      <x:c r="H13" s="8" t="str">
        <x:f>IF(OR(A13="",COUNTIFS(Retention!$A$6:$A$15,B13)&lt;&gt;1),"",INDEX(Retention!$D$6:$D$15,MATCH(B13,Retention!$A$6:$A$15,0)))</x:f>
      </x:c>
      <x:c r="I13" s="10" t="str">
        <x:f>IF(OR(A13="",NOT(ISNUMBER(D13)),NOT(ISNUMBER(G13))),"",IF(G13&lt;1,"",IF(H13="months",EDATE(D13,G13),IF(H13="days",D13+G13,""))))</x:f>
      </x:c>
      <x:c r="J13" s="8" t="str">
        <x:f>IF(A13="","",IF(COUNTIFS(Retention!$A$6:$A$15,B13)&lt;&gt;1,"Check category",IF(NOT(ISNUMBER(D13)),"Set start date",IF(NOT(ISNUMBER(I13)),"Check rule",IF(AND(E13&lt;&gt;"Yes",E13&lt;&gt;"No"),"Set hold flag",IF(E13="Yes","Hold",IF(AND(K13&lt;&gt;"",ISNUMBER(L13),M13&lt;&gt;""),"Review recorded",IF(OR(K13&lt;&gt;"",L13&lt;&gt;"",M13&lt;&gt;""),"Complete review details",IF(I13&lt;=TODAY(),"Review due","Retain")))))))))</x:f>
      </x:c>
      <x:c r="K13" s="7"/>
      <x:c r="L13" s="9"/>
      <x:c r="M13" s="7"/>
    </x:row>
    <x:row r="14" ht="25" customHeight="1">
      <x:c r="A14" s="7"/>
      <x:c r="B14" s="7"/>
      <x:c r="C14" s="7"/>
      <x:c r="D14" s="9"/>
      <x:c r="E14" s="7"/>
      <x:c r="F14" s="7"/>
      <x:c r="G14" s="8" t="str">
        <x:f>IF(OR(A14="",COUNTIFS(Retention!$A$6:$A$15,B14)&lt;&gt;1),"",INDEX(Retention!$C$6:$C$15,MATCH(B14,Retention!$A$6:$A$15,0)))</x:f>
      </x:c>
      <x:c r="H14" s="8" t="str">
        <x:f>IF(OR(A14="",COUNTIFS(Retention!$A$6:$A$15,B14)&lt;&gt;1),"",INDEX(Retention!$D$6:$D$15,MATCH(B14,Retention!$A$6:$A$15,0)))</x:f>
      </x:c>
      <x:c r="I14" s="10" t="str">
        <x:f>IF(OR(A14="",NOT(ISNUMBER(D14)),NOT(ISNUMBER(G14))),"",IF(G14&lt;1,"",IF(H14="months",EDATE(D14,G14),IF(H14="days",D14+G14,""))))</x:f>
      </x:c>
      <x:c r="J14" s="8" t="str">
        <x:f>IF(A14="","",IF(COUNTIFS(Retention!$A$6:$A$15,B14)&lt;&gt;1,"Check category",IF(NOT(ISNUMBER(D14)),"Set start date",IF(NOT(ISNUMBER(I14)),"Check rule",IF(AND(E14&lt;&gt;"Yes",E14&lt;&gt;"No"),"Set hold flag",IF(E14="Yes","Hold",IF(AND(K14&lt;&gt;"",ISNUMBER(L14),M14&lt;&gt;""),"Review recorded",IF(OR(K14&lt;&gt;"",L14&lt;&gt;"",M14&lt;&gt;""),"Complete review details",IF(I14&lt;=TODAY(),"Review due","Retain")))))))))</x:f>
      </x:c>
      <x:c r="K14" s="7"/>
      <x:c r="L14" s="9"/>
      <x:c r="M14" s="7"/>
    </x:row>
    <x:row r="15" ht="25" customHeight="1">
      <x:c r="A15" s="7"/>
      <x:c r="B15" s="7"/>
      <x:c r="C15" s="7"/>
      <x:c r="D15" s="9"/>
      <x:c r="E15" s="7"/>
      <x:c r="F15" s="7"/>
      <x:c r="G15" s="8" t="str">
        <x:f>IF(OR(A15="",COUNTIFS(Retention!$A$6:$A$15,B15)&lt;&gt;1),"",INDEX(Retention!$C$6:$C$15,MATCH(B15,Retention!$A$6:$A$15,0)))</x:f>
      </x:c>
      <x:c r="H15" s="8" t="str">
        <x:f>IF(OR(A15="",COUNTIFS(Retention!$A$6:$A$15,B15)&lt;&gt;1),"",INDEX(Retention!$D$6:$D$15,MATCH(B15,Retention!$A$6:$A$15,0)))</x:f>
      </x:c>
      <x:c r="I15" s="10" t="str">
        <x:f>IF(OR(A15="",NOT(ISNUMBER(D15)),NOT(ISNUMBER(G15))),"",IF(G15&lt;1,"",IF(H15="months",EDATE(D15,G15),IF(H15="days",D15+G15,""))))</x:f>
      </x:c>
      <x:c r="J15" s="8" t="str">
        <x:f>IF(A15="","",IF(COUNTIFS(Retention!$A$6:$A$15,B15)&lt;&gt;1,"Check category",IF(NOT(ISNUMBER(D15)),"Set start date",IF(NOT(ISNUMBER(I15)),"Check rule",IF(AND(E15&lt;&gt;"Yes",E15&lt;&gt;"No"),"Set hold flag",IF(E15="Yes","Hold",IF(AND(K15&lt;&gt;"",ISNUMBER(L15),M15&lt;&gt;""),"Review recorded",IF(OR(K15&lt;&gt;"",L15&lt;&gt;"",M15&lt;&gt;""),"Complete review details",IF(I15&lt;=TODAY(),"Review due","Retain")))))))))</x:f>
      </x:c>
      <x:c r="K15" s="7"/>
      <x:c r="L15" s="9"/>
      <x:c r="M15" s="7"/>
    </x:row>
    <x:row r="16" ht="25" customHeight="1">
      <x:c r="A16" s="7"/>
      <x:c r="B16" s="7"/>
      <x:c r="C16" s="7"/>
      <x:c r="D16" s="9"/>
      <x:c r="E16" s="7"/>
      <x:c r="F16" s="7"/>
      <x:c r="G16" s="8" t="str">
        <x:f>IF(OR(A16="",COUNTIFS(Retention!$A$6:$A$15,B16)&lt;&gt;1),"",INDEX(Retention!$C$6:$C$15,MATCH(B16,Retention!$A$6:$A$15,0)))</x:f>
      </x:c>
      <x:c r="H16" s="8" t="str">
        <x:f>IF(OR(A16="",COUNTIFS(Retention!$A$6:$A$15,B16)&lt;&gt;1),"",INDEX(Retention!$D$6:$D$15,MATCH(B16,Retention!$A$6:$A$15,0)))</x:f>
      </x:c>
      <x:c r="I16" s="10" t="str">
        <x:f>IF(OR(A16="",NOT(ISNUMBER(D16)),NOT(ISNUMBER(G16))),"",IF(G16&lt;1,"",IF(H16="months",EDATE(D16,G16),IF(H16="days",D16+G16,""))))</x:f>
      </x:c>
      <x:c r="J16" s="8" t="str">
        <x:f>IF(A16="","",IF(COUNTIFS(Retention!$A$6:$A$15,B16)&lt;&gt;1,"Check category",IF(NOT(ISNUMBER(D16)),"Set start date",IF(NOT(ISNUMBER(I16)),"Check rule",IF(AND(E16&lt;&gt;"Yes",E16&lt;&gt;"No"),"Set hold flag",IF(E16="Yes","Hold",IF(AND(K16&lt;&gt;"",ISNUMBER(L16),M16&lt;&gt;""),"Review recorded",IF(OR(K16&lt;&gt;"",L16&lt;&gt;"",M16&lt;&gt;""),"Complete review details",IF(I16&lt;=TODAY(),"Review due","Retain")))))))))</x:f>
      </x:c>
      <x:c r="K16" s="7"/>
      <x:c r="L16" s="9"/>
      <x:c r="M16" s="7"/>
    </x:row>
    <x:row r="17" ht="25" customHeight="1">
      <x:c r="A17" s="7"/>
      <x:c r="B17" s="7"/>
      <x:c r="C17" s="7"/>
      <x:c r="D17" s="9"/>
      <x:c r="E17" s="7"/>
      <x:c r="F17" s="7"/>
      <x:c r="G17" s="8" t="str">
        <x:f>IF(OR(A17="",COUNTIFS(Retention!$A$6:$A$15,B17)&lt;&gt;1),"",INDEX(Retention!$C$6:$C$15,MATCH(B17,Retention!$A$6:$A$15,0)))</x:f>
      </x:c>
      <x:c r="H17" s="8" t="str">
        <x:f>IF(OR(A17="",COUNTIFS(Retention!$A$6:$A$15,B17)&lt;&gt;1),"",INDEX(Retention!$D$6:$D$15,MATCH(B17,Retention!$A$6:$A$15,0)))</x:f>
      </x:c>
      <x:c r="I17" s="10" t="str">
        <x:f>IF(OR(A17="",NOT(ISNUMBER(D17)),NOT(ISNUMBER(G17))),"",IF(G17&lt;1,"",IF(H17="months",EDATE(D17,G17),IF(H17="days",D17+G17,""))))</x:f>
      </x:c>
      <x:c r="J17" s="8" t="str">
        <x:f>IF(A17="","",IF(COUNTIFS(Retention!$A$6:$A$15,B17)&lt;&gt;1,"Check category",IF(NOT(ISNUMBER(D17)),"Set start date",IF(NOT(ISNUMBER(I17)),"Check rule",IF(AND(E17&lt;&gt;"Yes",E17&lt;&gt;"No"),"Set hold flag",IF(E17="Yes","Hold",IF(AND(K17&lt;&gt;"",ISNUMBER(L17),M17&lt;&gt;""),"Review recorded",IF(OR(K17&lt;&gt;"",L17&lt;&gt;"",M17&lt;&gt;""),"Complete review details",IF(I17&lt;=TODAY(),"Review due","Retain")))))))))</x:f>
      </x:c>
      <x:c r="K17" s="7"/>
      <x:c r="L17" s="9"/>
      <x:c r="M17" s="7"/>
    </x:row>
    <x:row r="18" ht="25" customHeight="1">
      <x:c r="A18" s="7"/>
      <x:c r="B18" s="7"/>
      <x:c r="C18" s="7"/>
      <x:c r="D18" s="9"/>
      <x:c r="E18" s="7"/>
      <x:c r="F18" s="7"/>
      <x:c r="G18" s="8" t="str">
        <x:f>IF(OR(A18="",COUNTIFS(Retention!$A$6:$A$15,B18)&lt;&gt;1),"",INDEX(Retention!$C$6:$C$15,MATCH(B18,Retention!$A$6:$A$15,0)))</x:f>
      </x:c>
      <x:c r="H18" s="8" t="str">
        <x:f>IF(OR(A18="",COUNTIFS(Retention!$A$6:$A$15,B18)&lt;&gt;1),"",INDEX(Retention!$D$6:$D$15,MATCH(B18,Retention!$A$6:$A$15,0)))</x:f>
      </x:c>
      <x:c r="I18" s="10" t="str">
        <x:f>IF(OR(A18="",NOT(ISNUMBER(D18)),NOT(ISNUMBER(G18))),"",IF(G18&lt;1,"",IF(H18="months",EDATE(D18,G18),IF(H18="days",D18+G18,""))))</x:f>
      </x:c>
      <x:c r="J18" s="8" t="str">
        <x:f>IF(A18="","",IF(COUNTIFS(Retention!$A$6:$A$15,B18)&lt;&gt;1,"Check category",IF(NOT(ISNUMBER(D18)),"Set start date",IF(NOT(ISNUMBER(I18)),"Check rule",IF(AND(E18&lt;&gt;"Yes",E18&lt;&gt;"No"),"Set hold flag",IF(E18="Yes","Hold",IF(AND(K18&lt;&gt;"",ISNUMBER(L18),M18&lt;&gt;""),"Review recorded",IF(OR(K18&lt;&gt;"",L18&lt;&gt;"",M18&lt;&gt;""),"Complete review details",IF(I18&lt;=TODAY(),"Review due","Retain")))))))))</x:f>
      </x:c>
      <x:c r="K18" s="7"/>
      <x:c r="L18" s="9"/>
      <x:c r="M18" s="7"/>
    </x:row>
    <x:row r="19" ht="25" customHeight="1">
      <x:c r="A19" s="7"/>
      <x:c r="B19" s="7"/>
      <x:c r="C19" s="7"/>
      <x:c r="D19" s="9"/>
      <x:c r="E19" s="7"/>
      <x:c r="F19" s="7"/>
      <x:c r="G19" s="8" t="str">
        <x:f>IF(OR(A19="",COUNTIFS(Retention!$A$6:$A$15,B19)&lt;&gt;1),"",INDEX(Retention!$C$6:$C$15,MATCH(B19,Retention!$A$6:$A$15,0)))</x:f>
      </x:c>
      <x:c r="H19" s="8" t="str">
        <x:f>IF(OR(A19="",COUNTIFS(Retention!$A$6:$A$15,B19)&lt;&gt;1),"",INDEX(Retention!$D$6:$D$15,MATCH(B19,Retention!$A$6:$A$15,0)))</x:f>
      </x:c>
      <x:c r="I19" s="10" t="str">
        <x:f>IF(OR(A19="",NOT(ISNUMBER(D19)),NOT(ISNUMBER(G19))),"",IF(G19&lt;1,"",IF(H19="months",EDATE(D19,G19),IF(H19="days",D19+G19,""))))</x:f>
      </x:c>
      <x:c r="J19" s="8" t="str">
        <x:f>IF(A19="","",IF(COUNTIFS(Retention!$A$6:$A$15,B19)&lt;&gt;1,"Check category",IF(NOT(ISNUMBER(D19)),"Set start date",IF(NOT(ISNUMBER(I19)),"Check rule",IF(AND(E19&lt;&gt;"Yes",E19&lt;&gt;"No"),"Set hold flag",IF(E19="Yes","Hold",IF(AND(K19&lt;&gt;"",ISNUMBER(L19),M19&lt;&gt;""),"Review recorded",IF(OR(K19&lt;&gt;"",L19&lt;&gt;"",M19&lt;&gt;""),"Complete review details",IF(I19&lt;=TODAY(),"Review due","Retain")))))))))</x:f>
      </x:c>
      <x:c r="K19" s="7"/>
      <x:c r="L19" s="9"/>
      <x:c r="M19" s="7"/>
    </x:row>
    <x:row r="20" ht="25" customHeight="1">
      <x:c r="A20" s="7"/>
      <x:c r="B20" s="7"/>
      <x:c r="C20" s="7"/>
      <x:c r="D20" s="9"/>
      <x:c r="E20" s="7"/>
      <x:c r="F20" s="7"/>
      <x:c r="G20" s="8" t="str">
        <x:f>IF(OR(A20="",COUNTIFS(Retention!$A$6:$A$15,B20)&lt;&gt;1),"",INDEX(Retention!$C$6:$C$15,MATCH(B20,Retention!$A$6:$A$15,0)))</x:f>
      </x:c>
      <x:c r="H20" s="8" t="str">
        <x:f>IF(OR(A20="",COUNTIFS(Retention!$A$6:$A$15,B20)&lt;&gt;1),"",INDEX(Retention!$D$6:$D$15,MATCH(B20,Retention!$A$6:$A$15,0)))</x:f>
      </x:c>
      <x:c r="I20" s="10" t="str">
        <x:f>IF(OR(A20="",NOT(ISNUMBER(D20)),NOT(ISNUMBER(G20))),"",IF(G20&lt;1,"",IF(H20="months",EDATE(D20,G20),IF(H20="days",D20+G20,""))))</x:f>
      </x:c>
      <x:c r="J20" s="8" t="str">
        <x:f>IF(A20="","",IF(COUNTIFS(Retention!$A$6:$A$15,B20)&lt;&gt;1,"Check category",IF(NOT(ISNUMBER(D20)),"Set start date",IF(NOT(ISNUMBER(I20)),"Check rule",IF(AND(E20&lt;&gt;"Yes",E20&lt;&gt;"No"),"Set hold flag",IF(E20="Yes","Hold",IF(AND(K20&lt;&gt;"",ISNUMBER(L20),M20&lt;&gt;""),"Review recorded",IF(OR(K20&lt;&gt;"",L20&lt;&gt;"",M20&lt;&gt;""),"Complete review details",IF(I20&lt;=TODAY(),"Review due","Retain")))))))))</x:f>
      </x:c>
      <x:c r="K20" s="7"/>
      <x:c r="L20" s="9"/>
      <x:c r="M20" s="7"/>
    </x:row>
    <x:row r="21" ht="25" customHeight="1">
      <x:c r="A21" s="7"/>
      <x:c r="B21" s="7"/>
      <x:c r="C21" s="7"/>
      <x:c r="D21" s="9"/>
      <x:c r="E21" s="7"/>
      <x:c r="F21" s="7"/>
      <x:c r="G21" s="8" t="str">
        <x:f>IF(OR(A21="",COUNTIFS(Retention!$A$6:$A$15,B21)&lt;&gt;1),"",INDEX(Retention!$C$6:$C$15,MATCH(B21,Retention!$A$6:$A$15,0)))</x:f>
      </x:c>
      <x:c r="H21" s="8" t="str">
        <x:f>IF(OR(A21="",COUNTIFS(Retention!$A$6:$A$15,B21)&lt;&gt;1),"",INDEX(Retention!$D$6:$D$15,MATCH(B21,Retention!$A$6:$A$15,0)))</x:f>
      </x:c>
      <x:c r="I21" s="10" t="str">
        <x:f>IF(OR(A21="",NOT(ISNUMBER(D21)),NOT(ISNUMBER(G21))),"",IF(G21&lt;1,"",IF(H21="months",EDATE(D21,G21),IF(H21="days",D21+G21,""))))</x:f>
      </x:c>
      <x:c r="J21" s="8" t="str">
        <x:f>IF(A21="","",IF(COUNTIFS(Retention!$A$6:$A$15,B21)&lt;&gt;1,"Check category",IF(NOT(ISNUMBER(D21)),"Set start date",IF(NOT(ISNUMBER(I21)),"Check rule",IF(AND(E21&lt;&gt;"Yes",E21&lt;&gt;"No"),"Set hold flag",IF(E21="Yes","Hold",IF(AND(K21&lt;&gt;"",ISNUMBER(L21),M21&lt;&gt;""),"Review recorded",IF(OR(K21&lt;&gt;"",L21&lt;&gt;"",M21&lt;&gt;""),"Complete review details",IF(I21&lt;=TODAY(),"Review due","Retain")))))))))</x:f>
      </x:c>
      <x:c r="K21" s="7"/>
      <x:c r="L21" s="9"/>
      <x:c r="M21" s="7"/>
    </x:row>
    <x:row r="22" ht="25" customHeight="1">
      <x:c r="A22" s="7"/>
      <x:c r="B22" s="7"/>
      <x:c r="C22" s="7"/>
      <x:c r="D22" s="9"/>
      <x:c r="E22" s="7"/>
      <x:c r="F22" s="7"/>
      <x:c r="G22" s="8" t="str">
        <x:f>IF(OR(A22="",COUNTIFS(Retention!$A$6:$A$15,B22)&lt;&gt;1),"",INDEX(Retention!$C$6:$C$15,MATCH(B22,Retention!$A$6:$A$15,0)))</x:f>
      </x:c>
      <x:c r="H22" s="8" t="str">
        <x:f>IF(OR(A22="",COUNTIFS(Retention!$A$6:$A$15,B22)&lt;&gt;1),"",INDEX(Retention!$D$6:$D$15,MATCH(B22,Retention!$A$6:$A$15,0)))</x:f>
      </x:c>
      <x:c r="I22" s="10" t="str">
        <x:f>IF(OR(A22="",NOT(ISNUMBER(D22)),NOT(ISNUMBER(G22))),"",IF(G22&lt;1,"",IF(H22="months",EDATE(D22,G22),IF(H22="days",D22+G22,""))))</x:f>
      </x:c>
      <x:c r="J22" s="8" t="str">
        <x:f>IF(A22="","",IF(COUNTIFS(Retention!$A$6:$A$15,B22)&lt;&gt;1,"Check category",IF(NOT(ISNUMBER(D22)),"Set start date",IF(NOT(ISNUMBER(I22)),"Check rule",IF(AND(E22&lt;&gt;"Yes",E22&lt;&gt;"No"),"Set hold flag",IF(E22="Yes","Hold",IF(AND(K22&lt;&gt;"",ISNUMBER(L22),M22&lt;&gt;""),"Review recorded",IF(OR(K22&lt;&gt;"",L22&lt;&gt;"",M22&lt;&gt;""),"Complete review details",IF(I22&lt;=TODAY(),"Review due","Retain")))))))))</x:f>
      </x:c>
      <x:c r="K22" s="7"/>
      <x:c r="L22" s="9"/>
      <x:c r="M22" s="7"/>
    </x:row>
    <x:row r="23" ht="25" customHeight="1">
      <x:c r="A23" s="7"/>
      <x:c r="B23" s="7"/>
      <x:c r="C23" s="7"/>
      <x:c r="D23" s="9"/>
      <x:c r="E23" s="7"/>
      <x:c r="F23" s="7"/>
      <x:c r="G23" s="8" t="str">
        <x:f>IF(OR(A23="",COUNTIFS(Retention!$A$6:$A$15,B23)&lt;&gt;1),"",INDEX(Retention!$C$6:$C$15,MATCH(B23,Retention!$A$6:$A$15,0)))</x:f>
      </x:c>
      <x:c r="H23" s="8" t="str">
        <x:f>IF(OR(A23="",COUNTIFS(Retention!$A$6:$A$15,B23)&lt;&gt;1),"",INDEX(Retention!$D$6:$D$15,MATCH(B23,Retention!$A$6:$A$15,0)))</x:f>
      </x:c>
      <x:c r="I23" s="10" t="str">
        <x:f>IF(OR(A23="",NOT(ISNUMBER(D23)),NOT(ISNUMBER(G23))),"",IF(G23&lt;1,"",IF(H23="months",EDATE(D23,G23),IF(H23="days",D23+G23,""))))</x:f>
      </x:c>
      <x:c r="J23" s="8" t="str">
        <x:f>IF(A23="","",IF(COUNTIFS(Retention!$A$6:$A$15,B23)&lt;&gt;1,"Check category",IF(NOT(ISNUMBER(D23)),"Set start date",IF(NOT(ISNUMBER(I23)),"Check rule",IF(AND(E23&lt;&gt;"Yes",E23&lt;&gt;"No"),"Set hold flag",IF(E23="Yes","Hold",IF(AND(K23&lt;&gt;"",ISNUMBER(L23),M23&lt;&gt;""),"Review recorded",IF(OR(K23&lt;&gt;"",L23&lt;&gt;"",M23&lt;&gt;""),"Complete review details",IF(I23&lt;=TODAY(),"Review due","Retain")))))))))</x:f>
      </x:c>
      <x:c r="K23" s="7"/>
      <x:c r="L23" s="9"/>
      <x:c r="M23" s="7"/>
    </x:row>
    <x:row r="24" ht="25" customHeight="1">
      <x:c r="A24" s="7"/>
      <x:c r="B24" s="7"/>
      <x:c r="C24" s="7"/>
      <x:c r="D24" s="9"/>
      <x:c r="E24" s="7"/>
      <x:c r="F24" s="7"/>
      <x:c r="G24" s="8" t="str">
        <x:f>IF(OR(A24="",COUNTIFS(Retention!$A$6:$A$15,B24)&lt;&gt;1),"",INDEX(Retention!$C$6:$C$15,MATCH(B24,Retention!$A$6:$A$15,0)))</x:f>
      </x:c>
      <x:c r="H24" s="8" t="str">
        <x:f>IF(OR(A24="",COUNTIFS(Retention!$A$6:$A$15,B24)&lt;&gt;1),"",INDEX(Retention!$D$6:$D$15,MATCH(B24,Retention!$A$6:$A$15,0)))</x:f>
      </x:c>
      <x:c r="I24" s="10" t="str">
        <x:f>IF(OR(A24="",NOT(ISNUMBER(D24)),NOT(ISNUMBER(G24))),"",IF(G24&lt;1,"",IF(H24="months",EDATE(D24,G24),IF(H24="days",D24+G24,""))))</x:f>
      </x:c>
      <x:c r="J24" s="8" t="str">
        <x:f>IF(A24="","",IF(COUNTIFS(Retention!$A$6:$A$15,B24)&lt;&gt;1,"Check category",IF(NOT(ISNUMBER(D24)),"Set start date",IF(NOT(ISNUMBER(I24)),"Check rule",IF(AND(E24&lt;&gt;"Yes",E24&lt;&gt;"No"),"Set hold flag",IF(E24="Yes","Hold",IF(AND(K24&lt;&gt;"",ISNUMBER(L24),M24&lt;&gt;""),"Review recorded",IF(OR(K24&lt;&gt;"",L24&lt;&gt;"",M24&lt;&gt;""),"Complete review details",IF(I24&lt;=TODAY(),"Review due","Retain")))))))))</x:f>
      </x:c>
      <x:c r="K24" s="7"/>
      <x:c r="L24" s="9"/>
      <x:c r="M24" s="7"/>
    </x:row>
    <x:row r="25" ht="25" customHeight="1">
      <x:c r="A25" s="7"/>
      <x:c r="B25" s="7"/>
      <x:c r="C25" s="7"/>
      <x:c r="D25" s="9"/>
      <x:c r="E25" s="7"/>
      <x:c r="F25" s="7"/>
      <x:c r="G25" s="8" t="str">
        <x:f>IF(OR(A25="",COUNTIFS(Retention!$A$6:$A$15,B25)&lt;&gt;1),"",INDEX(Retention!$C$6:$C$15,MATCH(B25,Retention!$A$6:$A$15,0)))</x:f>
      </x:c>
      <x:c r="H25" s="8" t="str">
        <x:f>IF(OR(A25="",COUNTIFS(Retention!$A$6:$A$15,B25)&lt;&gt;1),"",INDEX(Retention!$D$6:$D$15,MATCH(B25,Retention!$A$6:$A$15,0)))</x:f>
      </x:c>
      <x:c r="I25" s="10" t="str">
        <x:f>IF(OR(A25="",NOT(ISNUMBER(D25)),NOT(ISNUMBER(G25))),"",IF(G25&lt;1,"",IF(H25="months",EDATE(D25,G25),IF(H25="days",D25+G25,""))))</x:f>
      </x:c>
      <x:c r="J25" s="8" t="str">
        <x:f>IF(A25="","",IF(COUNTIFS(Retention!$A$6:$A$15,B25)&lt;&gt;1,"Check category",IF(NOT(ISNUMBER(D25)),"Set start date",IF(NOT(ISNUMBER(I25)),"Check rule",IF(AND(E25&lt;&gt;"Yes",E25&lt;&gt;"No"),"Set hold flag",IF(E25="Yes","Hold",IF(AND(K25&lt;&gt;"",ISNUMBER(L25),M25&lt;&gt;""),"Review recorded",IF(OR(K25&lt;&gt;"",L25&lt;&gt;"",M25&lt;&gt;""),"Complete review details",IF(I25&lt;=TODAY(),"Review due","Retain")))))))))</x:f>
      </x:c>
      <x:c r="K25" s="7"/>
      <x:c r="L25" s="9"/>
      <x:c r="M25" s="7"/>
    </x:row>
    <x:row r="26" ht="25" customHeight="1">
      <x:c r="A26" s="7"/>
      <x:c r="B26" s="7"/>
      <x:c r="C26" s="7"/>
      <x:c r="D26" s="9"/>
      <x:c r="E26" s="7"/>
      <x:c r="F26" s="7"/>
      <x:c r="G26" s="8" t="str">
        <x:f>IF(OR(A26="",COUNTIFS(Retention!$A$6:$A$15,B26)&lt;&gt;1),"",INDEX(Retention!$C$6:$C$15,MATCH(B26,Retention!$A$6:$A$15,0)))</x:f>
      </x:c>
      <x:c r="H26" s="8" t="str">
        <x:f>IF(OR(A26="",COUNTIFS(Retention!$A$6:$A$15,B26)&lt;&gt;1),"",INDEX(Retention!$D$6:$D$15,MATCH(B26,Retention!$A$6:$A$15,0)))</x:f>
      </x:c>
      <x:c r="I26" s="10" t="str">
        <x:f>IF(OR(A26="",NOT(ISNUMBER(D26)),NOT(ISNUMBER(G26))),"",IF(G26&lt;1,"",IF(H26="months",EDATE(D26,G26),IF(H26="days",D26+G26,""))))</x:f>
      </x:c>
      <x:c r="J26" s="8" t="str">
        <x:f>IF(A26="","",IF(COUNTIFS(Retention!$A$6:$A$15,B26)&lt;&gt;1,"Check category",IF(NOT(ISNUMBER(D26)),"Set start date",IF(NOT(ISNUMBER(I26)),"Check rule",IF(AND(E26&lt;&gt;"Yes",E26&lt;&gt;"No"),"Set hold flag",IF(E26="Yes","Hold",IF(AND(K26&lt;&gt;"",ISNUMBER(L26),M26&lt;&gt;""),"Review recorded",IF(OR(K26&lt;&gt;"",L26&lt;&gt;"",M26&lt;&gt;""),"Complete review details",IF(I26&lt;=TODAY(),"Review due","Retain")))))))))</x:f>
      </x:c>
      <x:c r="K26" s="7"/>
      <x:c r="L26" s="9"/>
      <x:c r="M26" s="7"/>
    </x:row>
    <x:row r="27" ht="25" customHeight="1">
      <x:c r="A27" s="7"/>
      <x:c r="B27" s="7"/>
      <x:c r="C27" s="7"/>
      <x:c r="D27" s="9"/>
      <x:c r="E27" s="7"/>
      <x:c r="F27" s="7"/>
      <x:c r="G27" s="8" t="str">
        <x:f>IF(OR(A27="",COUNTIFS(Retention!$A$6:$A$15,B27)&lt;&gt;1),"",INDEX(Retention!$C$6:$C$15,MATCH(B27,Retention!$A$6:$A$15,0)))</x:f>
      </x:c>
      <x:c r="H27" s="8" t="str">
        <x:f>IF(OR(A27="",COUNTIFS(Retention!$A$6:$A$15,B27)&lt;&gt;1),"",INDEX(Retention!$D$6:$D$15,MATCH(B27,Retention!$A$6:$A$15,0)))</x:f>
      </x:c>
      <x:c r="I27" s="10" t="str">
        <x:f>IF(OR(A27="",NOT(ISNUMBER(D27)),NOT(ISNUMBER(G27))),"",IF(G27&lt;1,"",IF(H27="months",EDATE(D27,G27),IF(H27="days",D27+G27,""))))</x:f>
      </x:c>
      <x:c r="J27" s="8" t="str">
        <x:f>IF(A27="","",IF(COUNTIFS(Retention!$A$6:$A$15,B27)&lt;&gt;1,"Check category",IF(NOT(ISNUMBER(D27)),"Set start date",IF(NOT(ISNUMBER(I27)),"Check rule",IF(AND(E27&lt;&gt;"Yes",E27&lt;&gt;"No"),"Set hold flag",IF(E27="Yes","Hold",IF(AND(K27&lt;&gt;"",ISNUMBER(L27),M27&lt;&gt;""),"Review recorded",IF(OR(K27&lt;&gt;"",L27&lt;&gt;"",M27&lt;&gt;""),"Complete review details",IF(I27&lt;=TODAY(),"Review due","Retain")))))))))</x:f>
      </x:c>
      <x:c r="K27" s="7"/>
      <x:c r="L27" s="9"/>
      <x:c r="M27" s="7"/>
    </x:row>
    <x:row r="28" ht="25" customHeight="1">
      <x:c r="A28" s="7"/>
      <x:c r="B28" s="7"/>
      <x:c r="C28" s="7"/>
      <x:c r="D28" s="9"/>
      <x:c r="E28" s="7"/>
      <x:c r="F28" s="7"/>
      <x:c r="G28" s="8" t="str">
        <x:f>IF(OR(A28="",COUNTIFS(Retention!$A$6:$A$15,B28)&lt;&gt;1),"",INDEX(Retention!$C$6:$C$15,MATCH(B28,Retention!$A$6:$A$15,0)))</x:f>
      </x:c>
      <x:c r="H28" s="8" t="str">
        <x:f>IF(OR(A28="",COUNTIFS(Retention!$A$6:$A$15,B28)&lt;&gt;1),"",INDEX(Retention!$D$6:$D$15,MATCH(B28,Retention!$A$6:$A$15,0)))</x:f>
      </x:c>
      <x:c r="I28" s="10" t="str">
        <x:f>IF(OR(A28="",NOT(ISNUMBER(D28)),NOT(ISNUMBER(G28))),"",IF(G28&lt;1,"",IF(H28="months",EDATE(D28,G28),IF(H28="days",D28+G28,""))))</x:f>
      </x:c>
      <x:c r="J28" s="8" t="str">
        <x:f>IF(A28="","",IF(COUNTIFS(Retention!$A$6:$A$15,B28)&lt;&gt;1,"Check category",IF(NOT(ISNUMBER(D28)),"Set start date",IF(NOT(ISNUMBER(I28)),"Check rule",IF(AND(E28&lt;&gt;"Yes",E28&lt;&gt;"No"),"Set hold flag",IF(E28="Yes","Hold",IF(AND(K28&lt;&gt;"",ISNUMBER(L28),M28&lt;&gt;""),"Review recorded",IF(OR(K28&lt;&gt;"",L28&lt;&gt;"",M28&lt;&gt;""),"Complete review details",IF(I28&lt;=TODAY(),"Review due","Retain")))))))))</x:f>
      </x:c>
      <x:c r="K28" s="7"/>
      <x:c r="L28" s="9"/>
      <x:c r="M28" s="7"/>
    </x:row>
    <x:row r="29" ht="25" customHeight="1">
      <x:c r="A29" s="7"/>
      <x:c r="B29" s="7"/>
      <x:c r="C29" s="7"/>
      <x:c r="D29" s="9"/>
      <x:c r="E29" s="7"/>
      <x:c r="F29" s="7"/>
      <x:c r="G29" s="8" t="str">
        <x:f>IF(OR(A29="",COUNTIFS(Retention!$A$6:$A$15,B29)&lt;&gt;1),"",INDEX(Retention!$C$6:$C$15,MATCH(B29,Retention!$A$6:$A$15,0)))</x:f>
      </x:c>
      <x:c r="H29" s="8" t="str">
        <x:f>IF(OR(A29="",COUNTIFS(Retention!$A$6:$A$15,B29)&lt;&gt;1),"",INDEX(Retention!$D$6:$D$15,MATCH(B29,Retention!$A$6:$A$15,0)))</x:f>
      </x:c>
      <x:c r="I29" s="10" t="str">
        <x:f>IF(OR(A29="",NOT(ISNUMBER(D29)),NOT(ISNUMBER(G29))),"",IF(G29&lt;1,"",IF(H29="months",EDATE(D29,G29),IF(H29="days",D29+G29,""))))</x:f>
      </x:c>
      <x:c r="J29" s="8" t="str">
        <x:f>IF(A29="","",IF(COUNTIFS(Retention!$A$6:$A$15,B29)&lt;&gt;1,"Check category",IF(NOT(ISNUMBER(D29)),"Set start date",IF(NOT(ISNUMBER(I29)),"Check rule",IF(AND(E29&lt;&gt;"Yes",E29&lt;&gt;"No"),"Set hold flag",IF(E29="Yes","Hold",IF(AND(K29&lt;&gt;"",ISNUMBER(L29),M29&lt;&gt;""),"Review recorded",IF(OR(K29&lt;&gt;"",L29&lt;&gt;"",M29&lt;&gt;""),"Complete review details",IF(I29&lt;=TODAY(),"Review due","Retain")))))))))</x:f>
      </x:c>
      <x:c r="K29" s="7"/>
      <x:c r="L29" s="9"/>
      <x:c r="M29" s="7"/>
    </x:row>
    <x:row r="30" ht="25" customHeight="1">
      <x:c r="A30" s="7"/>
      <x:c r="B30" s="7"/>
      <x:c r="C30" s="7"/>
      <x:c r="D30" s="9"/>
      <x:c r="E30" s="7"/>
      <x:c r="F30" s="7"/>
      <x:c r="G30" s="8" t="str">
        <x:f>IF(OR(A30="",COUNTIFS(Retention!$A$6:$A$15,B30)&lt;&gt;1),"",INDEX(Retention!$C$6:$C$15,MATCH(B30,Retention!$A$6:$A$15,0)))</x:f>
      </x:c>
      <x:c r="H30" s="8" t="str">
        <x:f>IF(OR(A30="",COUNTIFS(Retention!$A$6:$A$15,B30)&lt;&gt;1),"",INDEX(Retention!$D$6:$D$15,MATCH(B30,Retention!$A$6:$A$15,0)))</x:f>
      </x:c>
      <x:c r="I30" s="10" t="str">
        <x:f>IF(OR(A30="",NOT(ISNUMBER(D30)),NOT(ISNUMBER(G30))),"",IF(G30&lt;1,"",IF(H30="months",EDATE(D30,G30),IF(H30="days",D30+G30,""))))</x:f>
      </x:c>
      <x:c r="J30" s="8" t="str">
        <x:f>IF(A30="","",IF(COUNTIFS(Retention!$A$6:$A$15,B30)&lt;&gt;1,"Check category",IF(NOT(ISNUMBER(D30)),"Set start date",IF(NOT(ISNUMBER(I30)),"Check rule",IF(AND(E30&lt;&gt;"Yes",E30&lt;&gt;"No"),"Set hold flag",IF(E30="Yes","Hold",IF(AND(K30&lt;&gt;"",ISNUMBER(L30),M30&lt;&gt;""),"Review recorded",IF(OR(K30&lt;&gt;"",L30&lt;&gt;"",M30&lt;&gt;""),"Complete review details",IF(I30&lt;=TODAY(),"Review due","Retain")))))))))</x:f>
      </x:c>
      <x:c r="K30" s="7"/>
      <x:c r="L30" s="9"/>
      <x:c r="M30" s="7"/>
    </x:row>
    <x:row r="31" ht="25" customHeight="1">
      <x:c r="A31" s="7"/>
      <x:c r="B31" s="7"/>
      <x:c r="C31" s="7"/>
      <x:c r="D31" s="9"/>
      <x:c r="E31" s="7"/>
      <x:c r="F31" s="7"/>
      <x:c r="G31" s="8" t="str">
        <x:f>IF(OR(A31="",COUNTIFS(Retention!$A$6:$A$15,B31)&lt;&gt;1),"",INDEX(Retention!$C$6:$C$15,MATCH(B31,Retention!$A$6:$A$15,0)))</x:f>
      </x:c>
      <x:c r="H31" s="8" t="str">
        <x:f>IF(OR(A31="",COUNTIFS(Retention!$A$6:$A$15,B31)&lt;&gt;1),"",INDEX(Retention!$D$6:$D$15,MATCH(B31,Retention!$A$6:$A$15,0)))</x:f>
      </x:c>
      <x:c r="I31" s="10" t="str">
        <x:f>IF(OR(A31="",NOT(ISNUMBER(D31)),NOT(ISNUMBER(G31))),"",IF(G31&lt;1,"",IF(H31="months",EDATE(D31,G31),IF(H31="days",D31+G31,""))))</x:f>
      </x:c>
      <x:c r="J31" s="8" t="str">
        <x:f>IF(A31="","",IF(COUNTIFS(Retention!$A$6:$A$15,B31)&lt;&gt;1,"Check category",IF(NOT(ISNUMBER(D31)),"Set start date",IF(NOT(ISNUMBER(I31)),"Check rule",IF(AND(E31&lt;&gt;"Yes",E31&lt;&gt;"No"),"Set hold flag",IF(E31="Yes","Hold",IF(AND(K31&lt;&gt;"",ISNUMBER(L31),M31&lt;&gt;""),"Review recorded",IF(OR(K31&lt;&gt;"",L31&lt;&gt;"",M31&lt;&gt;""),"Complete review details",IF(I31&lt;=TODAY(),"Review due","Retain")))))))))</x:f>
      </x:c>
      <x:c r="K31" s="7"/>
      <x:c r="L31" s="9"/>
      <x:c r="M31" s="7"/>
    </x:row>
    <x:row r="32" ht="25" customHeight="1">
      <x:c r="A32" s="7"/>
      <x:c r="B32" s="7"/>
      <x:c r="C32" s="7"/>
      <x:c r="D32" s="9"/>
      <x:c r="E32" s="7"/>
      <x:c r="F32" s="7"/>
      <x:c r="G32" s="8" t="str">
        <x:f>IF(OR(A32="",COUNTIFS(Retention!$A$6:$A$15,B32)&lt;&gt;1),"",INDEX(Retention!$C$6:$C$15,MATCH(B32,Retention!$A$6:$A$15,0)))</x:f>
      </x:c>
      <x:c r="H32" s="8" t="str">
        <x:f>IF(OR(A32="",COUNTIFS(Retention!$A$6:$A$15,B32)&lt;&gt;1),"",INDEX(Retention!$D$6:$D$15,MATCH(B32,Retention!$A$6:$A$15,0)))</x:f>
      </x:c>
      <x:c r="I32" s="10" t="str">
        <x:f>IF(OR(A32="",NOT(ISNUMBER(D32)),NOT(ISNUMBER(G32))),"",IF(G32&lt;1,"",IF(H32="months",EDATE(D32,G32),IF(H32="days",D32+G32,""))))</x:f>
      </x:c>
      <x:c r="J32" s="8" t="str">
        <x:f>IF(A32="","",IF(COUNTIFS(Retention!$A$6:$A$15,B32)&lt;&gt;1,"Check category",IF(NOT(ISNUMBER(D32)),"Set start date",IF(NOT(ISNUMBER(I32)),"Check rule",IF(AND(E32&lt;&gt;"Yes",E32&lt;&gt;"No"),"Set hold flag",IF(E32="Yes","Hold",IF(AND(K32&lt;&gt;"",ISNUMBER(L32),M32&lt;&gt;""),"Review recorded",IF(OR(K32&lt;&gt;"",L32&lt;&gt;"",M32&lt;&gt;""),"Complete review details",IF(I32&lt;=TODAY(),"Review due","Retain")))))))))</x:f>
      </x:c>
      <x:c r="K32" s="7"/>
      <x:c r="L32" s="9"/>
      <x:c r="M32" s="7"/>
    </x:row>
    <x:row r="33" ht="25" customHeight="1">
      <x:c r="A33" s="7"/>
      <x:c r="B33" s="7"/>
      <x:c r="C33" s="7"/>
      <x:c r="D33" s="9"/>
      <x:c r="E33" s="7"/>
      <x:c r="F33" s="7"/>
      <x:c r="G33" s="8" t="str">
        <x:f>IF(OR(A33="",COUNTIFS(Retention!$A$6:$A$15,B33)&lt;&gt;1),"",INDEX(Retention!$C$6:$C$15,MATCH(B33,Retention!$A$6:$A$15,0)))</x:f>
      </x:c>
      <x:c r="H33" s="8" t="str">
        <x:f>IF(OR(A33="",COUNTIFS(Retention!$A$6:$A$15,B33)&lt;&gt;1),"",INDEX(Retention!$D$6:$D$15,MATCH(B33,Retention!$A$6:$A$15,0)))</x:f>
      </x:c>
      <x:c r="I33" s="10" t="str">
        <x:f>IF(OR(A33="",NOT(ISNUMBER(D33)),NOT(ISNUMBER(G33))),"",IF(G33&lt;1,"",IF(H33="months",EDATE(D33,G33),IF(H33="days",D33+G33,""))))</x:f>
      </x:c>
      <x:c r="J33" s="8" t="str">
        <x:f>IF(A33="","",IF(COUNTIFS(Retention!$A$6:$A$15,B33)&lt;&gt;1,"Check category",IF(NOT(ISNUMBER(D33)),"Set start date",IF(NOT(ISNUMBER(I33)),"Check rule",IF(AND(E33&lt;&gt;"Yes",E33&lt;&gt;"No"),"Set hold flag",IF(E33="Yes","Hold",IF(AND(K33&lt;&gt;"",ISNUMBER(L33),M33&lt;&gt;""),"Review recorded",IF(OR(K33&lt;&gt;"",L33&lt;&gt;"",M33&lt;&gt;""),"Complete review details",IF(I33&lt;=TODAY(),"Review due","Retain")))))))))</x:f>
      </x:c>
      <x:c r="K33" s="7"/>
      <x:c r="L33" s="9"/>
      <x:c r="M33" s="7"/>
    </x:row>
    <x:row r="34" ht="25" customHeight="1">
      <x:c r="A34" s="7"/>
      <x:c r="B34" s="7"/>
      <x:c r="C34" s="7"/>
      <x:c r="D34" s="9"/>
      <x:c r="E34" s="7"/>
      <x:c r="F34" s="7"/>
      <x:c r="G34" s="8" t="str">
        <x:f>IF(OR(A34="",COUNTIFS(Retention!$A$6:$A$15,B34)&lt;&gt;1),"",INDEX(Retention!$C$6:$C$15,MATCH(B34,Retention!$A$6:$A$15,0)))</x:f>
      </x:c>
      <x:c r="H34" s="8" t="str">
        <x:f>IF(OR(A34="",COUNTIFS(Retention!$A$6:$A$15,B34)&lt;&gt;1),"",INDEX(Retention!$D$6:$D$15,MATCH(B34,Retention!$A$6:$A$15,0)))</x:f>
      </x:c>
      <x:c r="I34" s="10" t="str">
        <x:f>IF(OR(A34="",NOT(ISNUMBER(D34)),NOT(ISNUMBER(G34))),"",IF(G34&lt;1,"",IF(H34="months",EDATE(D34,G34),IF(H34="days",D34+G34,""))))</x:f>
      </x:c>
      <x:c r="J34" s="8" t="str">
        <x:f>IF(A34="","",IF(COUNTIFS(Retention!$A$6:$A$15,B34)&lt;&gt;1,"Check category",IF(NOT(ISNUMBER(D34)),"Set start date",IF(NOT(ISNUMBER(I34)),"Check rule",IF(AND(E34&lt;&gt;"Yes",E34&lt;&gt;"No"),"Set hold flag",IF(E34="Yes","Hold",IF(AND(K34&lt;&gt;"",ISNUMBER(L34),M34&lt;&gt;""),"Review recorded",IF(OR(K34&lt;&gt;"",L34&lt;&gt;"",M34&lt;&gt;""),"Complete review details",IF(I34&lt;=TODAY(),"Review due","Retain")))))))))</x:f>
      </x:c>
      <x:c r="K34" s="7"/>
      <x:c r="L34" s="9"/>
      <x:c r="M34" s="7"/>
    </x:row>
    <x:row r="35" ht="25" customHeight="1">
      <x:c r="A35" s="7"/>
      <x:c r="B35" s="7"/>
      <x:c r="C35" s="7"/>
      <x:c r="D35" s="9"/>
      <x:c r="E35" s="7"/>
      <x:c r="F35" s="7"/>
      <x:c r="G35" s="8" t="str">
        <x:f>IF(OR(A35="",COUNTIFS(Retention!$A$6:$A$15,B35)&lt;&gt;1),"",INDEX(Retention!$C$6:$C$15,MATCH(B35,Retention!$A$6:$A$15,0)))</x:f>
      </x:c>
      <x:c r="H35" s="8" t="str">
        <x:f>IF(OR(A35="",COUNTIFS(Retention!$A$6:$A$15,B35)&lt;&gt;1),"",INDEX(Retention!$D$6:$D$15,MATCH(B35,Retention!$A$6:$A$15,0)))</x:f>
      </x:c>
      <x:c r="I35" s="10" t="str">
        <x:f>IF(OR(A35="",NOT(ISNUMBER(D35)),NOT(ISNUMBER(G35))),"",IF(G35&lt;1,"",IF(H35="months",EDATE(D35,G35),IF(H35="days",D35+G35,""))))</x:f>
      </x:c>
      <x:c r="J35" s="8" t="str">
        <x:f>IF(A35="","",IF(COUNTIFS(Retention!$A$6:$A$15,B35)&lt;&gt;1,"Check category",IF(NOT(ISNUMBER(D35)),"Set start date",IF(NOT(ISNUMBER(I35)),"Check rule",IF(AND(E35&lt;&gt;"Yes",E35&lt;&gt;"No"),"Set hold flag",IF(E35="Yes","Hold",IF(AND(K35&lt;&gt;"",ISNUMBER(L35),M35&lt;&gt;""),"Review recorded",IF(OR(K35&lt;&gt;"",L35&lt;&gt;"",M35&lt;&gt;""),"Complete review details",IF(I35&lt;=TODAY(),"Review due","Retain")))))))))</x:f>
      </x:c>
      <x:c r="K35" s="7"/>
      <x:c r="L35" s="9"/>
      <x:c r="M35" s="7"/>
    </x:row>
    <x:row r="36" ht="25" customHeight="1">
      <x:c r="A36" s="7"/>
      <x:c r="B36" s="7"/>
      <x:c r="C36" s="7"/>
      <x:c r="D36" s="9"/>
      <x:c r="E36" s="7"/>
      <x:c r="F36" s="7"/>
      <x:c r="G36" s="8" t="str">
        <x:f>IF(OR(A36="",COUNTIFS(Retention!$A$6:$A$15,B36)&lt;&gt;1),"",INDEX(Retention!$C$6:$C$15,MATCH(B36,Retention!$A$6:$A$15,0)))</x:f>
      </x:c>
      <x:c r="H36" s="8" t="str">
        <x:f>IF(OR(A36="",COUNTIFS(Retention!$A$6:$A$15,B36)&lt;&gt;1),"",INDEX(Retention!$D$6:$D$15,MATCH(B36,Retention!$A$6:$A$15,0)))</x:f>
      </x:c>
      <x:c r="I36" s="10" t="str">
        <x:f>IF(OR(A36="",NOT(ISNUMBER(D36)),NOT(ISNUMBER(G36))),"",IF(G36&lt;1,"",IF(H36="months",EDATE(D36,G36),IF(H36="days",D36+G36,""))))</x:f>
      </x:c>
      <x:c r="J36" s="8" t="str">
        <x:f>IF(A36="","",IF(COUNTIFS(Retention!$A$6:$A$15,B36)&lt;&gt;1,"Check category",IF(NOT(ISNUMBER(D36)),"Set start date",IF(NOT(ISNUMBER(I36)),"Check rule",IF(AND(E36&lt;&gt;"Yes",E36&lt;&gt;"No"),"Set hold flag",IF(E36="Yes","Hold",IF(AND(K36&lt;&gt;"",ISNUMBER(L36),M36&lt;&gt;""),"Review recorded",IF(OR(K36&lt;&gt;"",L36&lt;&gt;"",M36&lt;&gt;""),"Complete review details",IF(I36&lt;=TODAY(),"Review due","Retain")))))))))</x:f>
      </x:c>
      <x:c r="K36" s="7"/>
      <x:c r="L36" s="9"/>
      <x:c r="M36" s="7"/>
    </x:row>
    <x:row r="37" ht="25" customHeight="1">
      <x:c r="A37" s="7"/>
      <x:c r="B37" s="7"/>
      <x:c r="C37" s="7"/>
      <x:c r="D37" s="9"/>
      <x:c r="E37" s="7"/>
      <x:c r="F37" s="7"/>
      <x:c r="G37" s="8" t="str">
        <x:f>IF(OR(A37="",COUNTIFS(Retention!$A$6:$A$15,B37)&lt;&gt;1),"",INDEX(Retention!$C$6:$C$15,MATCH(B37,Retention!$A$6:$A$15,0)))</x:f>
      </x:c>
      <x:c r="H37" s="8" t="str">
        <x:f>IF(OR(A37="",COUNTIFS(Retention!$A$6:$A$15,B37)&lt;&gt;1),"",INDEX(Retention!$D$6:$D$15,MATCH(B37,Retention!$A$6:$A$15,0)))</x:f>
      </x:c>
      <x:c r="I37" s="10" t="str">
        <x:f>IF(OR(A37="",NOT(ISNUMBER(D37)),NOT(ISNUMBER(G37))),"",IF(G37&lt;1,"",IF(H37="months",EDATE(D37,G37),IF(H37="days",D37+G37,""))))</x:f>
      </x:c>
      <x:c r="J37" s="8" t="str">
        <x:f>IF(A37="","",IF(COUNTIFS(Retention!$A$6:$A$15,B37)&lt;&gt;1,"Check category",IF(NOT(ISNUMBER(D37)),"Set start date",IF(NOT(ISNUMBER(I37)),"Check rule",IF(AND(E37&lt;&gt;"Yes",E37&lt;&gt;"No"),"Set hold flag",IF(E37="Yes","Hold",IF(AND(K37&lt;&gt;"",ISNUMBER(L37),M37&lt;&gt;""),"Review recorded",IF(OR(K37&lt;&gt;"",L37&lt;&gt;"",M37&lt;&gt;""),"Complete review details",IF(I37&lt;=TODAY(),"Review due","Retain")))))))))</x:f>
      </x:c>
      <x:c r="K37" s="7"/>
      <x:c r="L37" s="9"/>
      <x:c r="M37" s="7"/>
    </x:row>
    <x:row r="38" ht="25" customHeight="1">
      <x:c r="A38" s="7"/>
      <x:c r="B38" s="7"/>
      <x:c r="C38" s="7"/>
      <x:c r="D38" s="9"/>
      <x:c r="E38" s="7"/>
      <x:c r="F38" s="7"/>
      <x:c r="G38" s="8" t="str">
        <x:f>IF(OR(A38="",COUNTIFS(Retention!$A$6:$A$15,B38)&lt;&gt;1),"",INDEX(Retention!$C$6:$C$15,MATCH(B38,Retention!$A$6:$A$15,0)))</x:f>
      </x:c>
      <x:c r="H38" s="8" t="str">
        <x:f>IF(OR(A38="",COUNTIFS(Retention!$A$6:$A$15,B38)&lt;&gt;1),"",INDEX(Retention!$D$6:$D$15,MATCH(B38,Retention!$A$6:$A$15,0)))</x:f>
      </x:c>
      <x:c r="I38" s="10" t="str">
        <x:f>IF(OR(A38="",NOT(ISNUMBER(D38)),NOT(ISNUMBER(G38))),"",IF(G38&lt;1,"",IF(H38="months",EDATE(D38,G38),IF(H38="days",D38+G38,""))))</x:f>
      </x:c>
      <x:c r="J38" s="8" t="str">
        <x:f>IF(A38="","",IF(COUNTIFS(Retention!$A$6:$A$15,B38)&lt;&gt;1,"Check category",IF(NOT(ISNUMBER(D38)),"Set start date",IF(NOT(ISNUMBER(I38)),"Check rule",IF(AND(E38&lt;&gt;"Yes",E38&lt;&gt;"No"),"Set hold flag",IF(E38="Yes","Hold",IF(AND(K38&lt;&gt;"",ISNUMBER(L38),M38&lt;&gt;""),"Review recorded",IF(OR(K38&lt;&gt;"",L38&lt;&gt;"",M38&lt;&gt;""),"Complete review details",IF(I38&lt;=TODAY(),"Review due","Retain")))))))))</x:f>
      </x:c>
      <x:c r="K38" s="7"/>
      <x:c r="L38" s="9"/>
      <x:c r="M38" s="7"/>
    </x:row>
    <x:row r="39" ht="25" customHeight="1">
      <x:c r="A39" s="7"/>
      <x:c r="B39" s="7"/>
      <x:c r="C39" s="7"/>
      <x:c r="D39" s="9"/>
      <x:c r="E39" s="7"/>
      <x:c r="F39" s="7"/>
      <x:c r="G39" s="8" t="str">
        <x:f>IF(OR(A39="",COUNTIFS(Retention!$A$6:$A$15,B39)&lt;&gt;1),"",INDEX(Retention!$C$6:$C$15,MATCH(B39,Retention!$A$6:$A$15,0)))</x:f>
      </x:c>
      <x:c r="H39" s="8" t="str">
        <x:f>IF(OR(A39="",COUNTIFS(Retention!$A$6:$A$15,B39)&lt;&gt;1),"",INDEX(Retention!$D$6:$D$15,MATCH(B39,Retention!$A$6:$A$15,0)))</x:f>
      </x:c>
      <x:c r="I39" s="10" t="str">
        <x:f>IF(OR(A39="",NOT(ISNUMBER(D39)),NOT(ISNUMBER(G39))),"",IF(G39&lt;1,"",IF(H39="months",EDATE(D39,G39),IF(H39="days",D39+G39,""))))</x:f>
      </x:c>
      <x:c r="J39" s="8" t="str">
        <x:f>IF(A39="","",IF(COUNTIFS(Retention!$A$6:$A$15,B39)&lt;&gt;1,"Check category",IF(NOT(ISNUMBER(D39)),"Set start date",IF(NOT(ISNUMBER(I39)),"Check rule",IF(AND(E39&lt;&gt;"Yes",E39&lt;&gt;"No"),"Set hold flag",IF(E39="Yes","Hold",IF(AND(K39&lt;&gt;"",ISNUMBER(L39),M39&lt;&gt;""),"Review recorded",IF(OR(K39&lt;&gt;"",L39&lt;&gt;"",M39&lt;&gt;""),"Complete review details",IF(I39&lt;=TODAY(),"Review due","Retain")))))))))</x:f>
      </x:c>
      <x:c r="K39" s="7"/>
      <x:c r="L39" s="9"/>
      <x:c r="M39" s="7"/>
    </x:row>
    <x:row r="40" ht="25" customHeight="1">
      <x:c r="A40" s="7"/>
      <x:c r="B40" s="7"/>
      <x:c r="C40" s="7"/>
      <x:c r="D40" s="9"/>
      <x:c r="E40" s="7"/>
      <x:c r="F40" s="7"/>
      <x:c r="G40" s="8" t="str">
        <x:f>IF(OR(A40="",COUNTIFS(Retention!$A$6:$A$15,B40)&lt;&gt;1),"",INDEX(Retention!$C$6:$C$15,MATCH(B40,Retention!$A$6:$A$15,0)))</x:f>
      </x:c>
      <x:c r="H40" s="8" t="str">
        <x:f>IF(OR(A40="",COUNTIFS(Retention!$A$6:$A$15,B40)&lt;&gt;1),"",INDEX(Retention!$D$6:$D$15,MATCH(B40,Retention!$A$6:$A$15,0)))</x:f>
      </x:c>
      <x:c r="I40" s="10" t="str">
        <x:f>IF(OR(A40="",NOT(ISNUMBER(D40)),NOT(ISNUMBER(G40))),"",IF(G40&lt;1,"",IF(H40="months",EDATE(D40,G40),IF(H40="days",D40+G40,""))))</x:f>
      </x:c>
      <x:c r="J40" s="8" t="str">
        <x:f>IF(A40="","",IF(COUNTIFS(Retention!$A$6:$A$15,B40)&lt;&gt;1,"Check category",IF(NOT(ISNUMBER(D40)),"Set start date",IF(NOT(ISNUMBER(I40)),"Check rule",IF(AND(E40&lt;&gt;"Yes",E40&lt;&gt;"No"),"Set hold flag",IF(E40="Yes","Hold",IF(AND(K40&lt;&gt;"",ISNUMBER(L40),M40&lt;&gt;""),"Review recorded",IF(OR(K40&lt;&gt;"",L40&lt;&gt;"",M40&lt;&gt;""),"Complete review details",IF(I40&lt;=TODAY(),"Review due","Retain")))))))))</x:f>
      </x:c>
      <x:c r="K40" s="7"/>
      <x:c r="L40" s="9"/>
      <x:c r="M40" s="7"/>
    </x:row>
    <x:row r="41" ht="25" customHeight="1">
      <x:c r="A41" s="7"/>
      <x:c r="B41" s="7"/>
      <x:c r="C41" s="7"/>
      <x:c r="D41" s="9"/>
      <x:c r="E41" s="7"/>
      <x:c r="F41" s="7"/>
      <x:c r="G41" s="8" t="str">
        <x:f>IF(OR(A41="",COUNTIFS(Retention!$A$6:$A$15,B41)&lt;&gt;1),"",INDEX(Retention!$C$6:$C$15,MATCH(B41,Retention!$A$6:$A$15,0)))</x:f>
      </x:c>
      <x:c r="H41" s="8" t="str">
        <x:f>IF(OR(A41="",COUNTIFS(Retention!$A$6:$A$15,B41)&lt;&gt;1),"",INDEX(Retention!$D$6:$D$15,MATCH(B41,Retention!$A$6:$A$15,0)))</x:f>
      </x:c>
      <x:c r="I41" s="10" t="str">
        <x:f>IF(OR(A41="",NOT(ISNUMBER(D41)),NOT(ISNUMBER(G41))),"",IF(G41&lt;1,"",IF(H41="months",EDATE(D41,G41),IF(H41="days",D41+G41,""))))</x:f>
      </x:c>
      <x:c r="J41" s="8" t="str">
        <x:f>IF(A41="","",IF(COUNTIFS(Retention!$A$6:$A$15,B41)&lt;&gt;1,"Check category",IF(NOT(ISNUMBER(D41)),"Set start date",IF(NOT(ISNUMBER(I41)),"Check rule",IF(AND(E41&lt;&gt;"Yes",E41&lt;&gt;"No"),"Set hold flag",IF(E41="Yes","Hold",IF(AND(K41&lt;&gt;"",ISNUMBER(L41),M41&lt;&gt;""),"Review recorded",IF(OR(K41&lt;&gt;"",L41&lt;&gt;"",M41&lt;&gt;""),"Complete review details",IF(I41&lt;=TODAY(),"Review due","Retain")))))))))</x:f>
      </x:c>
      <x:c r="K41" s="7"/>
      <x:c r="L41" s="9"/>
      <x:c r="M41" s="7"/>
    </x:row>
    <x:row r="42" ht="25" customHeight="1">
      <x:c r="A42" s="7"/>
      <x:c r="B42" s="7"/>
      <x:c r="C42" s="7"/>
      <x:c r="D42" s="9"/>
      <x:c r="E42" s="7"/>
      <x:c r="F42" s="7"/>
      <x:c r="G42" s="8" t="str">
        <x:f>IF(OR(A42="",COUNTIFS(Retention!$A$6:$A$15,B42)&lt;&gt;1),"",INDEX(Retention!$C$6:$C$15,MATCH(B42,Retention!$A$6:$A$15,0)))</x:f>
      </x:c>
      <x:c r="H42" s="8" t="str">
        <x:f>IF(OR(A42="",COUNTIFS(Retention!$A$6:$A$15,B42)&lt;&gt;1),"",INDEX(Retention!$D$6:$D$15,MATCH(B42,Retention!$A$6:$A$15,0)))</x:f>
      </x:c>
      <x:c r="I42" s="10" t="str">
        <x:f>IF(OR(A42="",NOT(ISNUMBER(D42)),NOT(ISNUMBER(G42))),"",IF(G42&lt;1,"",IF(H42="months",EDATE(D42,G42),IF(H42="days",D42+G42,""))))</x:f>
      </x:c>
      <x:c r="J42" s="8" t="str">
        <x:f>IF(A42="","",IF(COUNTIFS(Retention!$A$6:$A$15,B42)&lt;&gt;1,"Check category",IF(NOT(ISNUMBER(D42)),"Set start date",IF(NOT(ISNUMBER(I42)),"Check rule",IF(AND(E42&lt;&gt;"Yes",E42&lt;&gt;"No"),"Set hold flag",IF(E42="Yes","Hold",IF(AND(K42&lt;&gt;"",ISNUMBER(L42),M42&lt;&gt;""),"Review recorded",IF(OR(K42&lt;&gt;"",L42&lt;&gt;"",M42&lt;&gt;""),"Complete review details",IF(I42&lt;=TODAY(),"Review due","Retain")))))))))</x:f>
      </x:c>
      <x:c r="K42" s="7"/>
      <x:c r="L42" s="9"/>
      <x:c r="M42" s="7"/>
    </x:row>
    <x:row r="43" ht="25" customHeight="1">
      <x:c r="A43" s="7"/>
      <x:c r="B43" s="7"/>
      <x:c r="C43" s="7"/>
      <x:c r="D43" s="9"/>
      <x:c r="E43" s="7"/>
      <x:c r="F43" s="7"/>
      <x:c r="G43" s="8" t="str">
        <x:f>IF(OR(A43="",COUNTIFS(Retention!$A$6:$A$15,B43)&lt;&gt;1),"",INDEX(Retention!$C$6:$C$15,MATCH(B43,Retention!$A$6:$A$15,0)))</x:f>
      </x:c>
      <x:c r="H43" s="8" t="str">
        <x:f>IF(OR(A43="",COUNTIFS(Retention!$A$6:$A$15,B43)&lt;&gt;1),"",INDEX(Retention!$D$6:$D$15,MATCH(B43,Retention!$A$6:$A$15,0)))</x:f>
      </x:c>
      <x:c r="I43" s="10" t="str">
        <x:f>IF(OR(A43="",NOT(ISNUMBER(D43)),NOT(ISNUMBER(G43))),"",IF(G43&lt;1,"",IF(H43="months",EDATE(D43,G43),IF(H43="days",D43+G43,""))))</x:f>
      </x:c>
      <x:c r="J43" s="8" t="str">
        <x:f>IF(A43="","",IF(COUNTIFS(Retention!$A$6:$A$15,B43)&lt;&gt;1,"Check category",IF(NOT(ISNUMBER(D43)),"Set start date",IF(NOT(ISNUMBER(I43)),"Check rule",IF(AND(E43&lt;&gt;"Yes",E43&lt;&gt;"No"),"Set hold flag",IF(E43="Yes","Hold",IF(AND(K43&lt;&gt;"",ISNUMBER(L43),M43&lt;&gt;""),"Review recorded",IF(OR(K43&lt;&gt;"",L43&lt;&gt;"",M43&lt;&gt;""),"Complete review details",IF(I43&lt;=TODAY(),"Review due","Retain")))))))))</x:f>
      </x:c>
      <x:c r="K43" s="7"/>
      <x:c r="L43" s="9"/>
      <x:c r="M43" s="7"/>
    </x:row>
    <x:row r="44" ht="25" customHeight="1">
      <x:c r="A44" s="7"/>
      <x:c r="B44" s="7"/>
      <x:c r="C44" s="7"/>
      <x:c r="D44" s="9"/>
      <x:c r="E44" s="7"/>
      <x:c r="F44" s="7"/>
      <x:c r="G44" s="8" t="str">
        <x:f>IF(OR(A44="",COUNTIFS(Retention!$A$6:$A$15,B44)&lt;&gt;1),"",INDEX(Retention!$C$6:$C$15,MATCH(B44,Retention!$A$6:$A$15,0)))</x:f>
      </x:c>
      <x:c r="H44" s="8" t="str">
        <x:f>IF(OR(A44="",COUNTIFS(Retention!$A$6:$A$15,B44)&lt;&gt;1),"",INDEX(Retention!$D$6:$D$15,MATCH(B44,Retention!$A$6:$A$15,0)))</x:f>
      </x:c>
      <x:c r="I44" s="10" t="str">
        <x:f>IF(OR(A44="",NOT(ISNUMBER(D44)),NOT(ISNUMBER(G44))),"",IF(G44&lt;1,"",IF(H44="months",EDATE(D44,G44),IF(H44="days",D44+G44,""))))</x:f>
      </x:c>
      <x:c r="J44" s="8" t="str">
        <x:f>IF(A44="","",IF(COUNTIFS(Retention!$A$6:$A$15,B44)&lt;&gt;1,"Check category",IF(NOT(ISNUMBER(D44)),"Set start date",IF(NOT(ISNUMBER(I44)),"Check rule",IF(AND(E44&lt;&gt;"Yes",E44&lt;&gt;"No"),"Set hold flag",IF(E44="Yes","Hold",IF(AND(K44&lt;&gt;"",ISNUMBER(L44),M44&lt;&gt;""),"Review recorded",IF(OR(K44&lt;&gt;"",L44&lt;&gt;"",M44&lt;&gt;""),"Complete review details",IF(I44&lt;=TODAY(),"Review due","Retain")))))))))</x:f>
      </x:c>
      <x:c r="K44" s="7"/>
      <x:c r="L44" s="9"/>
      <x:c r="M44" s="7"/>
    </x:row>
    <x:row r="45" ht="25" customHeight="1">
      <x:c r="A45" s="7"/>
      <x:c r="B45" s="7"/>
      <x:c r="C45" s="7"/>
      <x:c r="D45" s="9"/>
      <x:c r="E45" s="7"/>
      <x:c r="F45" s="7"/>
      <x:c r="G45" s="8" t="str">
        <x:f>IF(OR(A45="",COUNTIFS(Retention!$A$6:$A$15,B45)&lt;&gt;1),"",INDEX(Retention!$C$6:$C$15,MATCH(B45,Retention!$A$6:$A$15,0)))</x:f>
      </x:c>
      <x:c r="H45" s="8" t="str">
        <x:f>IF(OR(A45="",COUNTIFS(Retention!$A$6:$A$15,B45)&lt;&gt;1),"",INDEX(Retention!$D$6:$D$15,MATCH(B45,Retention!$A$6:$A$15,0)))</x:f>
      </x:c>
      <x:c r="I45" s="10" t="str">
        <x:f>IF(OR(A45="",NOT(ISNUMBER(D45)),NOT(ISNUMBER(G45))),"",IF(G45&lt;1,"",IF(H45="months",EDATE(D45,G45),IF(H45="days",D45+G45,""))))</x:f>
      </x:c>
      <x:c r="J45" s="8" t="str">
        <x:f>IF(A45="","",IF(COUNTIFS(Retention!$A$6:$A$15,B45)&lt;&gt;1,"Check category",IF(NOT(ISNUMBER(D45)),"Set start date",IF(NOT(ISNUMBER(I45)),"Check rule",IF(AND(E45&lt;&gt;"Yes",E45&lt;&gt;"No"),"Set hold flag",IF(E45="Yes","Hold",IF(AND(K45&lt;&gt;"",ISNUMBER(L45),M45&lt;&gt;""),"Review recorded",IF(OR(K45&lt;&gt;"",L45&lt;&gt;"",M45&lt;&gt;""),"Complete review details",IF(I45&lt;=TODAY(),"Review due","Retain")))))))))</x:f>
      </x:c>
      <x:c r="K45" s="7"/>
      <x:c r="L45" s="9"/>
      <x:c r="M45" s="7"/>
    </x:row>
    <x:row r="46" ht="25" customHeight="1">
      <x:c r="A46" s="7"/>
      <x:c r="B46" s="7"/>
      <x:c r="C46" s="7"/>
      <x:c r="D46" s="9"/>
      <x:c r="E46" s="7"/>
      <x:c r="F46" s="7"/>
      <x:c r="G46" s="8" t="str">
        <x:f>IF(OR(A46="",COUNTIFS(Retention!$A$6:$A$15,B46)&lt;&gt;1),"",INDEX(Retention!$C$6:$C$15,MATCH(B46,Retention!$A$6:$A$15,0)))</x:f>
      </x:c>
      <x:c r="H46" s="8" t="str">
        <x:f>IF(OR(A46="",COUNTIFS(Retention!$A$6:$A$15,B46)&lt;&gt;1),"",INDEX(Retention!$D$6:$D$15,MATCH(B46,Retention!$A$6:$A$15,0)))</x:f>
      </x:c>
      <x:c r="I46" s="10" t="str">
        <x:f>IF(OR(A46="",NOT(ISNUMBER(D46)),NOT(ISNUMBER(G46))),"",IF(G46&lt;1,"",IF(H46="months",EDATE(D46,G46),IF(H46="days",D46+G46,""))))</x:f>
      </x:c>
      <x:c r="J46" s="8" t="str">
        <x:f>IF(A46="","",IF(COUNTIFS(Retention!$A$6:$A$15,B46)&lt;&gt;1,"Check category",IF(NOT(ISNUMBER(D46)),"Set start date",IF(NOT(ISNUMBER(I46)),"Check rule",IF(AND(E46&lt;&gt;"Yes",E46&lt;&gt;"No"),"Set hold flag",IF(E46="Yes","Hold",IF(AND(K46&lt;&gt;"",ISNUMBER(L46),M46&lt;&gt;""),"Review recorded",IF(OR(K46&lt;&gt;"",L46&lt;&gt;"",M46&lt;&gt;""),"Complete review details",IF(I46&lt;=TODAY(),"Review due","Retain")))))))))</x:f>
      </x:c>
      <x:c r="K46" s="7"/>
      <x:c r="L46" s="9"/>
      <x:c r="M46" s="7"/>
    </x:row>
    <x:row r="47" ht="25" customHeight="1">
      <x:c r="A47" s="7"/>
      <x:c r="B47" s="7"/>
      <x:c r="C47" s="7"/>
      <x:c r="D47" s="9"/>
      <x:c r="E47" s="7"/>
      <x:c r="F47" s="7"/>
      <x:c r="G47" s="8" t="str">
        <x:f>IF(OR(A47="",COUNTIFS(Retention!$A$6:$A$15,B47)&lt;&gt;1),"",INDEX(Retention!$C$6:$C$15,MATCH(B47,Retention!$A$6:$A$15,0)))</x:f>
      </x:c>
      <x:c r="H47" s="8" t="str">
        <x:f>IF(OR(A47="",COUNTIFS(Retention!$A$6:$A$15,B47)&lt;&gt;1),"",INDEX(Retention!$D$6:$D$15,MATCH(B47,Retention!$A$6:$A$15,0)))</x:f>
      </x:c>
      <x:c r="I47" s="10" t="str">
        <x:f>IF(OR(A47="",NOT(ISNUMBER(D47)),NOT(ISNUMBER(G47))),"",IF(G47&lt;1,"",IF(H47="months",EDATE(D47,G47),IF(H47="days",D47+G47,""))))</x:f>
      </x:c>
      <x:c r="J47" s="8" t="str">
        <x:f>IF(A47="","",IF(COUNTIFS(Retention!$A$6:$A$15,B47)&lt;&gt;1,"Check category",IF(NOT(ISNUMBER(D47)),"Set start date",IF(NOT(ISNUMBER(I47)),"Check rule",IF(AND(E47&lt;&gt;"Yes",E47&lt;&gt;"No"),"Set hold flag",IF(E47="Yes","Hold",IF(AND(K47&lt;&gt;"",ISNUMBER(L47),M47&lt;&gt;""),"Review recorded",IF(OR(K47&lt;&gt;"",L47&lt;&gt;"",M47&lt;&gt;""),"Complete review details",IF(I47&lt;=TODAY(),"Review due","Retain")))))))))</x:f>
      </x:c>
      <x:c r="K47" s="7"/>
      <x:c r="L47" s="9"/>
      <x:c r="M47" s="7"/>
    </x:row>
    <x:row r="48" ht="25" customHeight="1">
      <x:c r="A48" s="7"/>
      <x:c r="B48" s="7"/>
      <x:c r="C48" s="7"/>
      <x:c r="D48" s="9"/>
      <x:c r="E48" s="7"/>
      <x:c r="F48" s="7"/>
      <x:c r="G48" s="8" t="str">
        <x:f>IF(OR(A48="",COUNTIFS(Retention!$A$6:$A$15,B48)&lt;&gt;1),"",INDEX(Retention!$C$6:$C$15,MATCH(B48,Retention!$A$6:$A$15,0)))</x:f>
      </x:c>
      <x:c r="H48" s="8" t="str">
        <x:f>IF(OR(A48="",COUNTIFS(Retention!$A$6:$A$15,B48)&lt;&gt;1),"",INDEX(Retention!$D$6:$D$15,MATCH(B48,Retention!$A$6:$A$15,0)))</x:f>
      </x:c>
      <x:c r="I48" s="10" t="str">
        <x:f>IF(OR(A48="",NOT(ISNUMBER(D48)),NOT(ISNUMBER(G48))),"",IF(G48&lt;1,"",IF(H48="months",EDATE(D48,G48),IF(H48="days",D48+G48,""))))</x:f>
      </x:c>
      <x:c r="J48" s="8" t="str">
        <x:f>IF(A48="","",IF(COUNTIFS(Retention!$A$6:$A$15,B48)&lt;&gt;1,"Check category",IF(NOT(ISNUMBER(D48)),"Set start date",IF(NOT(ISNUMBER(I48)),"Check rule",IF(AND(E48&lt;&gt;"Yes",E48&lt;&gt;"No"),"Set hold flag",IF(E48="Yes","Hold",IF(AND(K48&lt;&gt;"",ISNUMBER(L48),M48&lt;&gt;""),"Review recorded",IF(OR(K48&lt;&gt;"",L48&lt;&gt;"",M48&lt;&gt;""),"Complete review details",IF(I48&lt;=TODAY(),"Review due","Retain")))))))))</x:f>
      </x:c>
      <x:c r="K48" s="7"/>
      <x:c r="L48" s="9"/>
      <x:c r="M48" s="7"/>
    </x:row>
    <x:row r="49" ht="25" customHeight="1">
      <x:c r="A49" s="7"/>
      <x:c r="B49" s="7"/>
      <x:c r="C49" s="7"/>
      <x:c r="D49" s="9"/>
      <x:c r="E49" s="7"/>
      <x:c r="F49" s="7"/>
      <x:c r="G49" s="8" t="str">
        <x:f>IF(OR(A49="",COUNTIFS(Retention!$A$6:$A$15,B49)&lt;&gt;1),"",INDEX(Retention!$C$6:$C$15,MATCH(B49,Retention!$A$6:$A$15,0)))</x:f>
      </x:c>
      <x:c r="H49" s="8" t="str">
        <x:f>IF(OR(A49="",COUNTIFS(Retention!$A$6:$A$15,B49)&lt;&gt;1),"",INDEX(Retention!$D$6:$D$15,MATCH(B49,Retention!$A$6:$A$15,0)))</x:f>
      </x:c>
      <x:c r="I49" s="10" t="str">
        <x:f>IF(OR(A49="",NOT(ISNUMBER(D49)),NOT(ISNUMBER(G49))),"",IF(G49&lt;1,"",IF(H49="months",EDATE(D49,G49),IF(H49="days",D49+G49,""))))</x:f>
      </x:c>
      <x:c r="J49" s="8" t="str">
        <x:f>IF(A49="","",IF(COUNTIFS(Retention!$A$6:$A$15,B49)&lt;&gt;1,"Check category",IF(NOT(ISNUMBER(D49)),"Set start date",IF(NOT(ISNUMBER(I49)),"Check rule",IF(AND(E49&lt;&gt;"Yes",E49&lt;&gt;"No"),"Set hold flag",IF(E49="Yes","Hold",IF(AND(K49&lt;&gt;"",ISNUMBER(L49),M49&lt;&gt;""),"Review recorded",IF(OR(K49&lt;&gt;"",L49&lt;&gt;"",M49&lt;&gt;""),"Complete review details",IF(I49&lt;=TODAY(),"Review due","Retain")))))))))</x:f>
      </x:c>
      <x:c r="K49" s="7"/>
      <x:c r="L49" s="9"/>
      <x:c r="M49" s="7"/>
    </x:row>
    <x:row r="50" ht="25" customHeight="1">
      <x:c r="A50" s="7"/>
      <x:c r="B50" s="7"/>
      <x:c r="C50" s="7"/>
      <x:c r="D50" s="9"/>
      <x:c r="E50" s="7"/>
      <x:c r="F50" s="7"/>
      <x:c r="G50" s="8" t="str">
        <x:f>IF(OR(A50="",COUNTIFS(Retention!$A$6:$A$15,B50)&lt;&gt;1),"",INDEX(Retention!$C$6:$C$15,MATCH(B50,Retention!$A$6:$A$15,0)))</x:f>
      </x:c>
      <x:c r="H50" s="8" t="str">
        <x:f>IF(OR(A50="",COUNTIFS(Retention!$A$6:$A$15,B50)&lt;&gt;1),"",INDEX(Retention!$D$6:$D$15,MATCH(B50,Retention!$A$6:$A$15,0)))</x:f>
      </x:c>
      <x:c r="I50" s="10" t="str">
        <x:f>IF(OR(A50="",NOT(ISNUMBER(D50)),NOT(ISNUMBER(G50))),"",IF(G50&lt;1,"",IF(H50="months",EDATE(D50,G50),IF(H50="days",D50+G50,""))))</x:f>
      </x:c>
      <x:c r="J50" s="8" t="str">
        <x:f>IF(A50="","",IF(COUNTIFS(Retention!$A$6:$A$15,B50)&lt;&gt;1,"Check category",IF(NOT(ISNUMBER(D50)),"Set start date",IF(NOT(ISNUMBER(I50)),"Check rule",IF(AND(E50&lt;&gt;"Yes",E50&lt;&gt;"No"),"Set hold flag",IF(E50="Yes","Hold",IF(AND(K50&lt;&gt;"",ISNUMBER(L50),M50&lt;&gt;""),"Review recorded",IF(OR(K50&lt;&gt;"",L50&lt;&gt;"",M50&lt;&gt;""),"Complete review details",IF(I50&lt;=TODAY(),"Review due","Retain")))))))))</x:f>
      </x:c>
      <x:c r="K50" s="7"/>
      <x:c r="L50" s="9"/>
      <x:c r="M50" s="7"/>
    </x:row>
    <x:row r="51" ht="25" customHeight="1">
      <x:c r="A51" s="7"/>
      <x:c r="B51" s="7"/>
      <x:c r="C51" s="7"/>
      <x:c r="D51" s="9"/>
      <x:c r="E51" s="7"/>
      <x:c r="F51" s="7"/>
      <x:c r="G51" s="8" t="str">
        <x:f>IF(OR(A51="",COUNTIFS(Retention!$A$6:$A$15,B51)&lt;&gt;1),"",INDEX(Retention!$C$6:$C$15,MATCH(B51,Retention!$A$6:$A$15,0)))</x:f>
      </x:c>
      <x:c r="H51" s="8" t="str">
        <x:f>IF(OR(A51="",COUNTIFS(Retention!$A$6:$A$15,B51)&lt;&gt;1),"",INDEX(Retention!$D$6:$D$15,MATCH(B51,Retention!$A$6:$A$15,0)))</x:f>
      </x:c>
      <x:c r="I51" s="10" t="str">
        <x:f>IF(OR(A51="",NOT(ISNUMBER(D51)),NOT(ISNUMBER(G51))),"",IF(G51&lt;1,"",IF(H51="months",EDATE(D51,G51),IF(H51="days",D51+G51,""))))</x:f>
      </x:c>
      <x:c r="J51" s="8" t="str">
        <x:f>IF(A51="","",IF(COUNTIFS(Retention!$A$6:$A$15,B51)&lt;&gt;1,"Check category",IF(NOT(ISNUMBER(D51)),"Set start date",IF(NOT(ISNUMBER(I51)),"Check rule",IF(AND(E51&lt;&gt;"Yes",E51&lt;&gt;"No"),"Set hold flag",IF(E51="Yes","Hold",IF(AND(K51&lt;&gt;"",ISNUMBER(L51),M51&lt;&gt;""),"Review recorded",IF(OR(K51&lt;&gt;"",L51&lt;&gt;"",M51&lt;&gt;""),"Complete review details",IF(I51&lt;=TODAY(),"Review due","Retain")))))))))</x:f>
      </x:c>
      <x:c r="K51" s="7"/>
      <x:c r="L51" s="9"/>
      <x:c r="M51" s="7"/>
    </x:row>
    <x:row r="52" ht="25" customHeight="1">
      <x:c r="A52" s="7"/>
      <x:c r="B52" s="7"/>
      <x:c r="C52" s="7"/>
      <x:c r="D52" s="9"/>
      <x:c r="E52" s="7"/>
      <x:c r="F52" s="7"/>
      <x:c r="G52" s="8" t="str">
        <x:f>IF(OR(A52="",COUNTIFS(Retention!$A$6:$A$15,B52)&lt;&gt;1),"",INDEX(Retention!$C$6:$C$15,MATCH(B52,Retention!$A$6:$A$15,0)))</x:f>
      </x:c>
      <x:c r="H52" s="8" t="str">
        <x:f>IF(OR(A52="",COUNTIFS(Retention!$A$6:$A$15,B52)&lt;&gt;1),"",INDEX(Retention!$D$6:$D$15,MATCH(B52,Retention!$A$6:$A$15,0)))</x:f>
      </x:c>
      <x:c r="I52" s="10" t="str">
        <x:f>IF(OR(A52="",NOT(ISNUMBER(D52)),NOT(ISNUMBER(G52))),"",IF(G52&lt;1,"",IF(H52="months",EDATE(D52,G52),IF(H52="days",D52+G52,""))))</x:f>
      </x:c>
      <x:c r="J52" s="8" t="str">
        <x:f>IF(A52="","",IF(COUNTIFS(Retention!$A$6:$A$15,B52)&lt;&gt;1,"Check category",IF(NOT(ISNUMBER(D52)),"Set start date",IF(NOT(ISNUMBER(I52)),"Check rule",IF(AND(E52&lt;&gt;"Yes",E52&lt;&gt;"No"),"Set hold flag",IF(E52="Yes","Hold",IF(AND(K52&lt;&gt;"",ISNUMBER(L52),M52&lt;&gt;""),"Review recorded",IF(OR(K52&lt;&gt;"",L52&lt;&gt;"",M52&lt;&gt;""),"Complete review details",IF(I52&lt;=TODAY(),"Review due","Retain")))))))))</x:f>
      </x:c>
      <x:c r="K52" s="7"/>
      <x:c r="L52" s="9"/>
      <x:c r="M52" s="7"/>
    </x:row>
    <x:row r="53" ht="25" customHeight="1">
      <x:c r="A53" s="7"/>
      <x:c r="B53" s="7"/>
      <x:c r="C53" s="7"/>
      <x:c r="D53" s="9"/>
      <x:c r="E53" s="7"/>
      <x:c r="F53" s="7"/>
      <x:c r="G53" s="8" t="str">
        <x:f>IF(OR(A53="",COUNTIFS(Retention!$A$6:$A$15,B53)&lt;&gt;1),"",INDEX(Retention!$C$6:$C$15,MATCH(B53,Retention!$A$6:$A$15,0)))</x:f>
      </x:c>
      <x:c r="H53" s="8" t="str">
        <x:f>IF(OR(A53="",COUNTIFS(Retention!$A$6:$A$15,B53)&lt;&gt;1),"",INDEX(Retention!$D$6:$D$15,MATCH(B53,Retention!$A$6:$A$15,0)))</x:f>
      </x:c>
      <x:c r="I53" s="10" t="str">
        <x:f>IF(OR(A53="",NOT(ISNUMBER(D53)),NOT(ISNUMBER(G53))),"",IF(G53&lt;1,"",IF(H53="months",EDATE(D53,G53),IF(H53="days",D53+G53,""))))</x:f>
      </x:c>
      <x:c r="J53" s="8" t="str">
        <x:f>IF(A53="","",IF(COUNTIFS(Retention!$A$6:$A$15,B53)&lt;&gt;1,"Check category",IF(NOT(ISNUMBER(D53)),"Set start date",IF(NOT(ISNUMBER(I53)),"Check rule",IF(AND(E53&lt;&gt;"Yes",E53&lt;&gt;"No"),"Set hold flag",IF(E53="Yes","Hold",IF(AND(K53&lt;&gt;"",ISNUMBER(L53),M53&lt;&gt;""),"Review recorded",IF(OR(K53&lt;&gt;"",L53&lt;&gt;"",M53&lt;&gt;""),"Complete review details",IF(I53&lt;=TODAY(),"Review due","Retain")))))))))</x:f>
      </x:c>
      <x:c r="K53" s="7"/>
      <x:c r="L53" s="9"/>
      <x:c r="M53" s="7"/>
    </x:row>
    <x:row r="54" ht="25" customHeight="1">
      <x:c r="A54" s="7"/>
      <x:c r="B54" s="7"/>
      <x:c r="C54" s="7"/>
      <x:c r="D54" s="9"/>
      <x:c r="E54" s="7"/>
      <x:c r="F54" s="7"/>
      <x:c r="G54" s="8" t="str">
        <x:f>IF(OR(A54="",COUNTIFS(Retention!$A$6:$A$15,B54)&lt;&gt;1),"",INDEX(Retention!$C$6:$C$15,MATCH(B54,Retention!$A$6:$A$15,0)))</x:f>
      </x:c>
      <x:c r="H54" s="8" t="str">
        <x:f>IF(OR(A54="",COUNTIFS(Retention!$A$6:$A$15,B54)&lt;&gt;1),"",INDEX(Retention!$D$6:$D$15,MATCH(B54,Retention!$A$6:$A$15,0)))</x:f>
      </x:c>
      <x:c r="I54" s="10" t="str">
        <x:f>IF(OR(A54="",NOT(ISNUMBER(D54)),NOT(ISNUMBER(G54))),"",IF(G54&lt;1,"",IF(H54="months",EDATE(D54,G54),IF(H54="days",D54+G54,""))))</x:f>
      </x:c>
      <x:c r="J54" s="8" t="str">
        <x:f>IF(A54="","",IF(COUNTIFS(Retention!$A$6:$A$15,B54)&lt;&gt;1,"Check category",IF(NOT(ISNUMBER(D54)),"Set start date",IF(NOT(ISNUMBER(I54)),"Check rule",IF(AND(E54&lt;&gt;"Yes",E54&lt;&gt;"No"),"Set hold flag",IF(E54="Yes","Hold",IF(AND(K54&lt;&gt;"",ISNUMBER(L54),M54&lt;&gt;""),"Review recorded",IF(OR(K54&lt;&gt;"",L54&lt;&gt;"",M54&lt;&gt;""),"Complete review details",IF(I54&lt;=TODAY(),"Review due","Retain")))))))))</x:f>
      </x:c>
      <x:c r="K54" s="7"/>
      <x:c r="L54" s="9"/>
      <x:c r="M54" s="7"/>
    </x:row>
    <x:row r="55" ht="25" customHeight="1">
      <x:c r="A55" s="7"/>
      <x:c r="B55" s="7"/>
      <x:c r="C55" s="7"/>
      <x:c r="D55" s="9"/>
      <x:c r="E55" s="7"/>
      <x:c r="F55" s="7"/>
      <x:c r="G55" s="8" t="str">
        <x:f>IF(OR(A55="",COUNTIFS(Retention!$A$6:$A$15,B55)&lt;&gt;1),"",INDEX(Retention!$C$6:$C$15,MATCH(B55,Retention!$A$6:$A$15,0)))</x:f>
      </x:c>
      <x:c r="H55" s="8" t="str">
        <x:f>IF(OR(A55="",COUNTIFS(Retention!$A$6:$A$15,B55)&lt;&gt;1),"",INDEX(Retention!$D$6:$D$15,MATCH(B55,Retention!$A$6:$A$15,0)))</x:f>
      </x:c>
      <x:c r="I55" s="10" t="str">
        <x:f>IF(OR(A55="",NOT(ISNUMBER(D55)),NOT(ISNUMBER(G55))),"",IF(G55&lt;1,"",IF(H55="months",EDATE(D55,G55),IF(H55="days",D55+G55,""))))</x:f>
      </x:c>
      <x:c r="J55" s="8" t="str">
        <x:f>IF(A55="","",IF(COUNTIFS(Retention!$A$6:$A$15,B55)&lt;&gt;1,"Check category",IF(NOT(ISNUMBER(D55)),"Set start date",IF(NOT(ISNUMBER(I55)),"Check rule",IF(AND(E55&lt;&gt;"Yes",E55&lt;&gt;"No"),"Set hold flag",IF(E55="Yes","Hold",IF(AND(K55&lt;&gt;"",ISNUMBER(L55),M55&lt;&gt;""),"Review recorded",IF(OR(K55&lt;&gt;"",L55&lt;&gt;"",M55&lt;&gt;""),"Complete review details",IF(I55&lt;=TODAY(),"Review due","Retain")))))))))</x:f>
      </x:c>
      <x:c r="K55" s="7"/>
      <x:c r="L55" s="9"/>
      <x:c r="M55" s="7"/>
    </x:row>
    <x:row r="56" ht="25" customHeight="1">
      <x:c r="A56" s="7"/>
      <x:c r="B56" s="7"/>
      <x:c r="C56" s="7"/>
      <x:c r="D56" s="9"/>
      <x:c r="E56" s="7"/>
      <x:c r="F56" s="7"/>
      <x:c r="G56" s="8" t="str">
        <x:f>IF(OR(A56="",COUNTIFS(Retention!$A$6:$A$15,B56)&lt;&gt;1),"",INDEX(Retention!$C$6:$C$15,MATCH(B56,Retention!$A$6:$A$15,0)))</x:f>
      </x:c>
      <x:c r="H56" s="8" t="str">
        <x:f>IF(OR(A56="",COUNTIFS(Retention!$A$6:$A$15,B56)&lt;&gt;1),"",INDEX(Retention!$D$6:$D$15,MATCH(B56,Retention!$A$6:$A$15,0)))</x:f>
      </x:c>
      <x:c r="I56" s="10" t="str">
        <x:f>IF(OR(A56="",NOT(ISNUMBER(D56)),NOT(ISNUMBER(G56))),"",IF(G56&lt;1,"",IF(H56="months",EDATE(D56,G56),IF(H56="days",D56+G56,""))))</x:f>
      </x:c>
      <x:c r="J56" s="8" t="str">
        <x:f>IF(A56="","",IF(COUNTIFS(Retention!$A$6:$A$15,B56)&lt;&gt;1,"Check category",IF(NOT(ISNUMBER(D56)),"Set start date",IF(NOT(ISNUMBER(I56)),"Check rule",IF(AND(E56&lt;&gt;"Yes",E56&lt;&gt;"No"),"Set hold flag",IF(E56="Yes","Hold",IF(AND(K56&lt;&gt;"",ISNUMBER(L56),M56&lt;&gt;""),"Review recorded",IF(OR(K56&lt;&gt;"",L56&lt;&gt;"",M56&lt;&gt;""),"Complete review details",IF(I56&lt;=TODAY(),"Review due","Retain")))))))))</x:f>
      </x:c>
      <x:c r="K56" s="7"/>
      <x:c r="L56" s="9"/>
      <x:c r="M56" s="7"/>
    </x:row>
    <x:row r="57" ht="25" customHeight="1">
      <x:c r="A57" s="7"/>
      <x:c r="B57" s="7"/>
      <x:c r="C57" s="7"/>
      <x:c r="D57" s="9"/>
      <x:c r="E57" s="7"/>
      <x:c r="F57" s="7"/>
      <x:c r="G57" s="8" t="str">
        <x:f>IF(OR(A57="",COUNTIFS(Retention!$A$6:$A$15,B57)&lt;&gt;1),"",INDEX(Retention!$C$6:$C$15,MATCH(B57,Retention!$A$6:$A$15,0)))</x:f>
      </x:c>
      <x:c r="H57" s="8" t="str">
        <x:f>IF(OR(A57="",COUNTIFS(Retention!$A$6:$A$15,B57)&lt;&gt;1),"",INDEX(Retention!$D$6:$D$15,MATCH(B57,Retention!$A$6:$A$15,0)))</x:f>
      </x:c>
      <x:c r="I57" s="10" t="str">
        <x:f>IF(OR(A57="",NOT(ISNUMBER(D57)),NOT(ISNUMBER(G57))),"",IF(G57&lt;1,"",IF(H57="months",EDATE(D57,G57),IF(H57="days",D57+G57,""))))</x:f>
      </x:c>
      <x:c r="J57" s="8" t="str">
        <x:f>IF(A57="","",IF(COUNTIFS(Retention!$A$6:$A$15,B57)&lt;&gt;1,"Check category",IF(NOT(ISNUMBER(D57)),"Set start date",IF(NOT(ISNUMBER(I57)),"Check rule",IF(AND(E57&lt;&gt;"Yes",E57&lt;&gt;"No"),"Set hold flag",IF(E57="Yes","Hold",IF(AND(K57&lt;&gt;"",ISNUMBER(L57),M57&lt;&gt;""),"Review recorded",IF(OR(K57&lt;&gt;"",L57&lt;&gt;"",M57&lt;&gt;""),"Complete review details",IF(I57&lt;=TODAY(),"Review due","Retain")))))))))</x:f>
      </x:c>
      <x:c r="K57" s="7"/>
      <x:c r="L57" s="9"/>
      <x:c r="M57" s="7"/>
    </x:row>
    <x:row r="58" ht="25" customHeight="1">
      <x:c r="A58" s="7"/>
      <x:c r="B58" s="7"/>
      <x:c r="C58" s="7"/>
      <x:c r="D58" s="9"/>
      <x:c r="E58" s="7"/>
      <x:c r="F58" s="7"/>
      <x:c r="G58" s="8" t="str">
        <x:f>IF(OR(A58="",COUNTIFS(Retention!$A$6:$A$15,B58)&lt;&gt;1),"",INDEX(Retention!$C$6:$C$15,MATCH(B58,Retention!$A$6:$A$15,0)))</x:f>
      </x:c>
      <x:c r="H58" s="8" t="str">
        <x:f>IF(OR(A58="",COUNTIFS(Retention!$A$6:$A$15,B58)&lt;&gt;1),"",INDEX(Retention!$D$6:$D$15,MATCH(B58,Retention!$A$6:$A$15,0)))</x:f>
      </x:c>
      <x:c r="I58" s="10" t="str">
        <x:f>IF(OR(A58="",NOT(ISNUMBER(D58)),NOT(ISNUMBER(G58))),"",IF(G58&lt;1,"",IF(H58="months",EDATE(D58,G58),IF(H58="days",D58+G58,""))))</x:f>
      </x:c>
      <x:c r="J58" s="8" t="str">
        <x:f>IF(A58="","",IF(COUNTIFS(Retention!$A$6:$A$15,B58)&lt;&gt;1,"Check category",IF(NOT(ISNUMBER(D58)),"Set start date",IF(NOT(ISNUMBER(I58)),"Check rule",IF(AND(E58&lt;&gt;"Yes",E58&lt;&gt;"No"),"Set hold flag",IF(E58="Yes","Hold",IF(AND(K58&lt;&gt;"",ISNUMBER(L58),M58&lt;&gt;""),"Review recorded",IF(OR(K58&lt;&gt;"",L58&lt;&gt;"",M58&lt;&gt;""),"Complete review details",IF(I58&lt;=TODAY(),"Review due","Retain")))))))))</x:f>
      </x:c>
      <x:c r="K58" s="7"/>
      <x:c r="L58" s="9"/>
      <x:c r="M58" s="7"/>
    </x:row>
    <x:row r="59" ht="25" customHeight="1">
      <x:c r="A59" s="7"/>
      <x:c r="B59" s="7"/>
      <x:c r="C59" s="7"/>
      <x:c r="D59" s="9"/>
      <x:c r="E59" s="7"/>
      <x:c r="F59" s="7"/>
      <x:c r="G59" s="8" t="str">
        <x:f>IF(OR(A59="",COUNTIFS(Retention!$A$6:$A$15,B59)&lt;&gt;1),"",INDEX(Retention!$C$6:$C$15,MATCH(B59,Retention!$A$6:$A$15,0)))</x:f>
      </x:c>
      <x:c r="H59" s="8" t="str">
        <x:f>IF(OR(A59="",COUNTIFS(Retention!$A$6:$A$15,B59)&lt;&gt;1),"",INDEX(Retention!$D$6:$D$15,MATCH(B59,Retention!$A$6:$A$15,0)))</x:f>
      </x:c>
      <x:c r="I59" s="10" t="str">
        <x:f>IF(OR(A59="",NOT(ISNUMBER(D59)),NOT(ISNUMBER(G59))),"",IF(G59&lt;1,"",IF(H59="months",EDATE(D59,G59),IF(H59="days",D59+G59,""))))</x:f>
      </x:c>
      <x:c r="J59" s="8" t="str">
        <x:f>IF(A59="","",IF(COUNTIFS(Retention!$A$6:$A$15,B59)&lt;&gt;1,"Check category",IF(NOT(ISNUMBER(D59)),"Set start date",IF(NOT(ISNUMBER(I59)),"Check rule",IF(AND(E59&lt;&gt;"Yes",E59&lt;&gt;"No"),"Set hold flag",IF(E59="Yes","Hold",IF(AND(K59&lt;&gt;"",ISNUMBER(L59),M59&lt;&gt;""),"Review recorded",IF(OR(K59&lt;&gt;"",L59&lt;&gt;"",M59&lt;&gt;""),"Complete review details",IF(I59&lt;=TODAY(),"Review due","Retain")))))))))</x:f>
      </x:c>
      <x:c r="K59" s="7"/>
      <x:c r="L59" s="9"/>
      <x:c r="M59" s="7"/>
    </x:row>
    <x:row r="60" ht="25" customHeight="1">
      <x:c r="A60" s="7"/>
      <x:c r="B60" s="7"/>
      <x:c r="C60" s="7"/>
      <x:c r="D60" s="9"/>
      <x:c r="E60" s="7"/>
      <x:c r="F60" s="7"/>
      <x:c r="G60" s="8" t="str">
        <x:f>IF(OR(A60="",COUNTIFS(Retention!$A$6:$A$15,B60)&lt;&gt;1),"",INDEX(Retention!$C$6:$C$15,MATCH(B60,Retention!$A$6:$A$15,0)))</x:f>
      </x:c>
      <x:c r="H60" s="8" t="str">
        <x:f>IF(OR(A60="",COUNTIFS(Retention!$A$6:$A$15,B60)&lt;&gt;1),"",INDEX(Retention!$D$6:$D$15,MATCH(B60,Retention!$A$6:$A$15,0)))</x:f>
      </x:c>
      <x:c r="I60" s="10" t="str">
        <x:f>IF(OR(A60="",NOT(ISNUMBER(D60)),NOT(ISNUMBER(G60))),"",IF(G60&lt;1,"",IF(H60="months",EDATE(D60,G60),IF(H60="days",D60+G60,""))))</x:f>
      </x:c>
      <x:c r="J60" s="8" t="str">
        <x:f>IF(A60="","",IF(COUNTIFS(Retention!$A$6:$A$15,B60)&lt;&gt;1,"Check category",IF(NOT(ISNUMBER(D60)),"Set start date",IF(NOT(ISNUMBER(I60)),"Check rule",IF(AND(E60&lt;&gt;"Yes",E60&lt;&gt;"No"),"Set hold flag",IF(E60="Yes","Hold",IF(AND(K60&lt;&gt;"",ISNUMBER(L60),M60&lt;&gt;""),"Review recorded",IF(OR(K60&lt;&gt;"",L60&lt;&gt;"",M60&lt;&gt;""),"Complete review details",IF(I60&lt;=TODAY(),"Review due","Retain")))))))))</x:f>
      </x:c>
      <x:c r="K60" s="7"/>
      <x:c r="L60" s="9"/>
      <x:c r="M60" s="7"/>
    </x:row>
    <x:row r="61" ht="25" customHeight="1">
      <x:c r="A61" s="7"/>
      <x:c r="B61" s="7"/>
      <x:c r="C61" s="7"/>
      <x:c r="D61" s="9"/>
      <x:c r="E61" s="7"/>
      <x:c r="F61" s="7"/>
      <x:c r="G61" s="8" t="str">
        <x:f>IF(OR(A61="",COUNTIFS(Retention!$A$6:$A$15,B61)&lt;&gt;1),"",INDEX(Retention!$C$6:$C$15,MATCH(B61,Retention!$A$6:$A$15,0)))</x:f>
      </x:c>
      <x:c r="H61" s="8" t="str">
        <x:f>IF(OR(A61="",COUNTIFS(Retention!$A$6:$A$15,B61)&lt;&gt;1),"",INDEX(Retention!$D$6:$D$15,MATCH(B61,Retention!$A$6:$A$15,0)))</x:f>
      </x:c>
      <x:c r="I61" s="10" t="str">
        <x:f>IF(OR(A61="",NOT(ISNUMBER(D61)),NOT(ISNUMBER(G61))),"",IF(G61&lt;1,"",IF(H61="months",EDATE(D61,G61),IF(H61="days",D61+G61,""))))</x:f>
      </x:c>
      <x:c r="J61" s="8" t="str">
        <x:f>IF(A61="","",IF(COUNTIFS(Retention!$A$6:$A$15,B61)&lt;&gt;1,"Check category",IF(NOT(ISNUMBER(D61)),"Set start date",IF(NOT(ISNUMBER(I61)),"Check rule",IF(AND(E61&lt;&gt;"Yes",E61&lt;&gt;"No"),"Set hold flag",IF(E61="Yes","Hold",IF(AND(K61&lt;&gt;"",ISNUMBER(L61),M61&lt;&gt;""),"Review recorded",IF(OR(K61&lt;&gt;"",L61&lt;&gt;"",M61&lt;&gt;""),"Complete review details",IF(I61&lt;=TODAY(),"Review due","Retain")))))))))</x:f>
      </x:c>
      <x:c r="K61" s="7"/>
      <x:c r="L61" s="9"/>
      <x:c r="M61" s="7"/>
    </x:row>
    <x:row r="62" ht="25" customHeight="1">
      <x:c r="A62" s="7"/>
      <x:c r="B62" s="7"/>
      <x:c r="C62" s="7"/>
      <x:c r="D62" s="9"/>
      <x:c r="E62" s="7"/>
      <x:c r="F62" s="7"/>
      <x:c r="G62" s="8" t="str">
        <x:f>IF(OR(A62="",COUNTIFS(Retention!$A$6:$A$15,B62)&lt;&gt;1),"",INDEX(Retention!$C$6:$C$15,MATCH(B62,Retention!$A$6:$A$15,0)))</x:f>
      </x:c>
      <x:c r="H62" s="8" t="str">
        <x:f>IF(OR(A62="",COUNTIFS(Retention!$A$6:$A$15,B62)&lt;&gt;1),"",INDEX(Retention!$D$6:$D$15,MATCH(B62,Retention!$A$6:$A$15,0)))</x:f>
      </x:c>
      <x:c r="I62" s="10" t="str">
        <x:f>IF(OR(A62="",NOT(ISNUMBER(D62)),NOT(ISNUMBER(G62))),"",IF(G62&lt;1,"",IF(H62="months",EDATE(D62,G62),IF(H62="days",D62+G62,""))))</x:f>
      </x:c>
      <x:c r="J62" s="8" t="str">
        <x:f>IF(A62="","",IF(COUNTIFS(Retention!$A$6:$A$15,B62)&lt;&gt;1,"Check category",IF(NOT(ISNUMBER(D62)),"Set start date",IF(NOT(ISNUMBER(I62)),"Check rule",IF(AND(E62&lt;&gt;"Yes",E62&lt;&gt;"No"),"Set hold flag",IF(E62="Yes","Hold",IF(AND(K62&lt;&gt;"",ISNUMBER(L62),M62&lt;&gt;""),"Review recorded",IF(OR(K62&lt;&gt;"",L62&lt;&gt;"",M62&lt;&gt;""),"Complete review details",IF(I62&lt;=TODAY(),"Review due","Retain")))))))))</x:f>
      </x:c>
      <x:c r="K62" s="7"/>
      <x:c r="L62" s="9"/>
      <x:c r="M62" s="7"/>
    </x:row>
    <x:row r="63" ht="25" customHeight="1">
      <x:c r="A63" s="7"/>
      <x:c r="B63" s="7"/>
      <x:c r="C63" s="7"/>
      <x:c r="D63" s="9"/>
      <x:c r="E63" s="7"/>
      <x:c r="F63" s="7"/>
      <x:c r="G63" s="8" t="str">
        <x:f>IF(OR(A63="",COUNTIFS(Retention!$A$6:$A$15,B63)&lt;&gt;1),"",INDEX(Retention!$C$6:$C$15,MATCH(B63,Retention!$A$6:$A$15,0)))</x:f>
      </x:c>
      <x:c r="H63" s="8" t="str">
        <x:f>IF(OR(A63="",COUNTIFS(Retention!$A$6:$A$15,B63)&lt;&gt;1),"",INDEX(Retention!$D$6:$D$15,MATCH(B63,Retention!$A$6:$A$15,0)))</x:f>
      </x:c>
      <x:c r="I63" s="10" t="str">
        <x:f>IF(OR(A63="",NOT(ISNUMBER(D63)),NOT(ISNUMBER(G63))),"",IF(G63&lt;1,"",IF(H63="months",EDATE(D63,G63),IF(H63="days",D63+G63,""))))</x:f>
      </x:c>
      <x:c r="J63" s="8" t="str">
        <x:f>IF(A63="","",IF(COUNTIFS(Retention!$A$6:$A$15,B63)&lt;&gt;1,"Check category",IF(NOT(ISNUMBER(D63)),"Set start date",IF(NOT(ISNUMBER(I63)),"Check rule",IF(AND(E63&lt;&gt;"Yes",E63&lt;&gt;"No"),"Set hold flag",IF(E63="Yes","Hold",IF(AND(K63&lt;&gt;"",ISNUMBER(L63),M63&lt;&gt;""),"Review recorded",IF(OR(K63&lt;&gt;"",L63&lt;&gt;"",M63&lt;&gt;""),"Complete review details",IF(I63&lt;=TODAY(),"Review due","Retain")))))))))</x:f>
      </x:c>
      <x:c r="K63" s="7"/>
      <x:c r="L63" s="9"/>
      <x:c r="M63" s="7"/>
    </x:row>
    <x:row r="64" ht="25" customHeight="1">
      <x:c r="A64" s="7"/>
      <x:c r="B64" s="7"/>
      <x:c r="C64" s="7"/>
      <x:c r="D64" s="9"/>
      <x:c r="E64" s="7"/>
      <x:c r="F64" s="7"/>
      <x:c r="G64" s="8" t="str">
        <x:f>IF(OR(A64="",COUNTIFS(Retention!$A$6:$A$15,B64)&lt;&gt;1),"",INDEX(Retention!$C$6:$C$15,MATCH(B64,Retention!$A$6:$A$15,0)))</x:f>
      </x:c>
      <x:c r="H64" s="8" t="str">
        <x:f>IF(OR(A64="",COUNTIFS(Retention!$A$6:$A$15,B64)&lt;&gt;1),"",INDEX(Retention!$D$6:$D$15,MATCH(B64,Retention!$A$6:$A$15,0)))</x:f>
      </x:c>
      <x:c r="I64" s="10" t="str">
        <x:f>IF(OR(A64="",NOT(ISNUMBER(D64)),NOT(ISNUMBER(G64))),"",IF(G64&lt;1,"",IF(H64="months",EDATE(D64,G64),IF(H64="days",D64+G64,""))))</x:f>
      </x:c>
      <x:c r="J64" s="8" t="str">
        <x:f>IF(A64="","",IF(COUNTIFS(Retention!$A$6:$A$15,B64)&lt;&gt;1,"Check category",IF(NOT(ISNUMBER(D64)),"Set start date",IF(NOT(ISNUMBER(I64)),"Check rule",IF(AND(E64&lt;&gt;"Yes",E64&lt;&gt;"No"),"Set hold flag",IF(E64="Yes","Hold",IF(AND(K64&lt;&gt;"",ISNUMBER(L64),M64&lt;&gt;""),"Review recorded",IF(OR(K64&lt;&gt;"",L64&lt;&gt;"",M64&lt;&gt;""),"Complete review details",IF(I64&lt;=TODAY(),"Review due","Retain")))))))))</x:f>
      </x:c>
      <x:c r="K64" s="7"/>
      <x:c r="L64" s="9"/>
      <x:c r="M64" s="7"/>
    </x:row>
    <x:row r="65" ht="25" customHeight="1">
      <x:c r="A65" s="7"/>
      <x:c r="B65" s="7"/>
      <x:c r="C65" s="7"/>
      <x:c r="D65" s="9"/>
      <x:c r="E65" s="7"/>
      <x:c r="F65" s="7"/>
      <x:c r="G65" s="8" t="str">
        <x:f>IF(OR(A65="",COUNTIFS(Retention!$A$6:$A$15,B65)&lt;&gt;1),"",INDEX(Retention!$C$6:$C$15,MATCH(B65,Retention!$A$6:$A$15,0)))</x:f>
      </x:c>
      <x:c r="H65" s="8" t="str">
        <x:f>IF(OR(A65="",COUNTIFS(Retention!$A$6:$A$15,B65)&lt;&gt;1),"",INDEX(Retention!$D$6:$D$15,MATCH(B65,Retention!$A$6:$A$15,0)))</x:f>
      </x:c>
      <x:c r="I65" s="10" t="str">
        <x:f>IF(OR(A65="",NOT(ISNUMBER(D65)),NOT(ISNUMBER(G65))),"",IF(G65&lt;1,"",IF(H65="months",EDATE(D65,G65),IF(H65="days",D65+G65,""))))</x:f>
      </x:c>
      <x:c r="J65" s="8" t="str">
        <x:f>IF(A65="","",IF(COUNTIFS(Retention!$A$6:$A$15,B65)&lt;&gt;1,"Check category",IF(NOT(ISNUMBER(D65)),"Set start date",IF(NOT(ISNUMBER(I65)),"Check rule",IF(AND(E65&lt;&gt;"Yes",E65&lt;&gt;"No"),"Set hold flag",IF(E65="Yes","Hold",IF(AND(K65&lt;&gt;"",ISNUMBER(L65),M65&lt;&gt;""),"Review recorded",IF(OR(K65&lt;&gt;"",L65&lt;&gt;"",M65&lt;&gt;""),"Complete review details",IF(I65&lt;=TODAY(),"Review due","Retain")))))))))</x:f>
      </x:c>
      <x:c r="K65" s="7"/>
      <x:c r="L65" s="9"/>
      <x:c r="M65" s="7"/>
    </x:row>
    <x:row r="66" ht="25" customHeight="1">
      <x:c r="A66" s="7"/>
      <x:c r="B66" s="7"/>
      <x:c r="C66" s="7"/>
      <x:c r="D66" s="9"/>
      <x:c r="E66" s="7"/>
      <x:c r="F66" s="7"/>
      <x:c r="G66" s="8" t="str">
        <x:f>IF(OR(A66="",COUNTIFS(Retention!$A$6:$A$15,B66)&lt;&gt;1),"",INDEX(Retention!$C$6:$C$15,MATCH(B66,Retention!$A$6:$A$15,0)))</x:f>
      </x:c>
      <x:c r="H66" s="8" t="str">
        <x:f>IF(OR(A66="",COUNTIFS(Retention!$A$6:$A$15,B66)&lt;&gt;1),"",INDEX(Retention!$D$6:$D$15,MATCH(B66,Retention!$A$6:$A$15,0)))</x:f>
      </x:c>
      <x:c r="I66" s="10" t="str">
        <x:f>IF(OR(A66="",NOT(ISNUMBER(D66)),NOT(ISNUMBER(G66))),"",IF(G66&lt;1,"",IF(H66="months",EDATE(D66,G66),IF(H66="days",D66+G66,""))))</x:f>
      </x:c>
      <x:c r="J66" s="8" t="str">
        <x:f>IF(A66="","",IF(COUNTIFS(Retention!$A$6:$A$15,B66)&lt;&gt;1,"Check category",IF(NOT(ISNUMBER(D66)),"Set start date",IF(NOT(ISNUMBER(I66)),"Check rule",IF(AND(E66&lt;&gt;"Yes",E66&lt;&gt;"No"),"Set hold flag",IF(E66="Yes","Hold",IF(AND(K66&lt;&gt;"",ISNUMBER(L66),M66&lt;&gt;""),"Review recorded",IF(OR(K66&lt;&gt;"",L66&lt;&gt;"",M66&lt;&gt;""),"Complete review details",IF(I66&lt;=TODAY(),"Review due","Retain")))))))))</x:f>
      </x:c>
      <x:c r="K66" s="7"/>
      <x:c r="L66" s="9"/>
      <x:c r="M66" s="7"/>
    </x:row>
    <x:row r="67" ht="25" customHeight="1">
      <x:c r="A67" s="7"/>
      <x:c r="B67" s="7"/>
      <x:c r="C67" s="7"/>
      <x:c r="D67" s="9"/>
      <x:c r="E67" s="7"/>
      <x:c r="F67" s="7"/>
      <x:c r="G67" s="8" t="str">
        <x:f>IF(OR(A67="",COUNTIFS(Retention!$A$6:$A$15,B67)&lt;&gt;1),"",INDEX(Retention!$C$6:$C$15,MATCH(B67,Retention!$A$6:$A$15,0)))</x:f>
      </x:c>
      <x:c r="H67" s="8" t="str">
        <x:f>IF(OR(A67="",COUNTIFS(Retention!$A$6:$A$15,B67)&lt;&gt;1),"",INDEX(Retention!$D$6:$D$15,MATCH(B67,Retention!$A$6:$A$15,0)))</x:f>
      </x:c>
      <x:c r="I67" s="10" t="str">
        <x:f>IF(OR(A67="",NOT(ISNUMBER(D67)),NOT(ISNUMBER(G67))),"",IF(G67&lt;1,"",IF(H67="months",EDATE(D67,G67),IF(H67="days",D67+G67,""))))</x:f>
      </x:c>
      <x:c r="J67" s="8" t="str">
        <x:f>IF(A67="","",IF(COUNTIFS(Retention!$A$6:$A$15,B67)&lt;&gt;1,"Check category",IF(NOT(ISNUMBER(D67)),"Set start date",IF(NOT(ISNUMBER(I67)),"Check rule",IF(AND(E67&lt;&gt;"Yes",E67&lt;&gt;"No"),"Set hold flag",IF(E67="Yes","Hold",IF(AND(K67&lt;&gt;"",ISNUMBER(L67),M67&lt;&gt;""),"Review recorded",IF(OR(K67&lt;&gt;"",L67&lt;&gt;"",M67&lt;&gt;""),"Complete review details",IF(I67&lt;=TODAY(),"Review due","Retain")))))))))</x:f>
      </x:c>
      <x:c r="K67" s="7"/>
      <x:c r="L67" s="9"/>
      <x:c r="M67" s="7"/>
    </x:row>
    <x:row r="68" ht="25" customHeight="1">
      <x:c r="A68" s="7"/>
      <x:c r="B68" s="7"/>
      <x:c r="C68" s="7"/>
      <x:c r="D68" s="9"/>
      <x:c r="E68" s="7"/>
      <x:c r="F68" s="7"/>
      <x:c r="G68" s="8" t="str">
        <x:f>IF(OR(A68="",COUNTIFS(Retention!$A$6:$A$15,B68)&lt;&gt;1),"",INDEX(Retention!$C$6:$C$15,MATCH(B68,Retention!$A$6:$A$15,0)))</x:f>
      </x:c>
      <x:c r="H68" s="8" t="str">
        <x:f>IF(OR(A68="",COUNTIFS(Retention!$A$6:$A$15,B68)&lt;&gt;1),"",INDEX(Retention!$D$6:$D$15,MATCH(B68,Retention!$A$6:$A$15,0)))</x:f>
      </x:c>
      <x:c r="I68" s="10" t="str">
        <x:f>IF(OR(A68="",NOT(ISNUMBER(D68)),NOT(ISNUMBER(G68))),"",IF(G68&lt;1,"",IF(H68="months",EDATE(D68,G68),IF(H68="days",D68+G68,""))))</x:f>
      </x:c>
      <x:c r="J68" s="8" t="str">
        <x:f>IF(A68="","",IF(COUNTIFS(Retention!$A$6:$A$15,B68)&lt;&gt;1,"Check category",IF(NOT(ISNUMBER(D68)),"Set start date",IF(NOT(ISNUMBER(I68)),"Check rule",IF(AND(E68&lt;&gt;"Yes",E68&lt;&gt;"No"),"Set hold flag",IF(E68="Yes","Hold",IF(AND(K68&lt;&gt;"",ISNUMBER(L68),M68&lt;&gt;""),"Review recorded",IF(OR(K68&lt;&gt;"",L68&lt;&gt;"",M68&lt;&gt;""),"Complete review details",IF(I68&lt;=TODAY(),"Review due","Retain")))))))))</x:f>
      </x:c>
      <x:c r="K68" s="7"/>
      <x:c r="L68" s="9"/>
      <x:c r="M68" s="7"/>
    </x:row>
    <x:row r="69" ht="25" customHeight="1">
      <x:c r="A69" s="7"/>
      <x:c r="B69" s="7"/>
      <x:c r="C69" s="7"/>
      <x:c r="D69" s="9"/>
      <x:c r="E69" s="7"/>
      <x:c r="F69" s="7"/>
      <x:c r="G69" s="8" t="str">
        <x:f>IF(OR(A69="",COUNTIFS(Retention!$A$6:$A$15,B69)&lt;&gt;1),"",INDEX(Retention!$C$6:$C$15,MATCH(B69,Retention!$A$6:$A$15,0)))</x:f>
      </x:c>
      <x:c r="H69" s="8" t="str">
        <x:f>IF(OR(A69="",COUNTIFS(Retention!$A$6:$A$15,B69)&lt;&gt;1),"",INDEX(Retention!$D$6:$D$15,MATCH(B69,Retention!$A$6:$A$15,0)))</x:f>
      </x:c>
      <x:c r="I69" s="10" t="str">
        <x:f>IF(OR(A69="",NOT(ISNUMBER(D69)),NOT(ISNUMBER(G69))),"",IF(G69&lt;1,"",IF(H69="months",EDATE(D69,G69),IF(H69="days",D69+G69,""))))</x:f>
      </x:c>
      <x:c r="J69" s="8" t="str">
        <x:f>IF(A69="","",IF(COUNTIFS(Retention!$A$6:$A$15,B69)&lt;&gt;1,"Check category",IF(NOT(ISNUMBER(D69)),"Set start date",IF(NOT(ISNUMBER(I69)),"Check rule",IF(AND(E69&lt;&gt;"Yes",E69&lt;&gt;"No"),"Set hold flag",IF(E69="Yes","Hold",IF(AND(K69&lt;&gt;"",ISNUMBER(L69),M69&lt;&gt;""),"Review recorded",IF(OR(K69&lt;&gt;"",L69&lt;&gt;"",M69&lt;&gt;""),"Complete review details",IF(I69&lt;=TODAY(),"Review due","Retain")))))))))</x:f>
      </x:c>
      <x:c r="K69" s="7"/>
      <x:c r="L69" s="9"/>
      <x:c r="M69" s="7"/>
    </x:row>
    <x:row r="70" ht="25" customHeight="1">
      <x:c r="A70" s="7"/>
      <x:c r="B70" s="7"/>
      <x:c r="C70" s="7"/>
      <x:c r="D70" s="9"/>
      <x:c r="E70" s="7"/>
      <x:c r="F70" s="7"/>
      <x:c r="G70" s="8" t="str">
        <x:f>IF(OR(A70="",COUNTIFS(Retention!$A$6:$A$15,B70)&lt;&gt;1),"",INDEX(Retention!$C$6:$C$15,MATCH(B70,Retention!$A$6:$A$15,0)))</x:f>
      </x:c>
      <x:c r="H70" s="8" t="str">
        <x:f>IF(OR(A70="",COUNTIFS(Retention!$A$6:$A$15,B70)&lt;&gt;1),"",INDEX(Retention!$D$6:$D$15,MATCH(B70,Retention!$A$6:$A$15,0)))</x:f>
      </x:c>
      <x:c r="I70" s="10" t="str">
        <x:f>IF(OR(A70="",NOT(ISNUMBER(D70)),NOT(ISNUMBER(G70))),"",IF(G70&lt;1,"",IF(H70="months",EDATE(D70,G70),IF(H70="days",D70+G70,""))))</x:f>
      </x:c>
      <x:c r="J70" s="8" t="str">
        <x:f>IF(A70="","",IF(COUNTIFS(Retention!$A$6:$A$15,B70)&lt;&gt;1,"Check category",IF(NOT(ISNUMBER(D70)),"Set start date",IF(NOT(ISNUMBER(I70)),"Check rule",IF(AND(E70&lt;&gt;"Yes",E70&lt;&gt;"No"),"Set hold flag",IF(E70="Yes","Hold",IF(AND(K70&lt;&gt;"",ISNUMBER(L70),M70&lt;&gt;""),"Review recorded",IF(OR(K70&lt;&gt;"",L70&lt;&gt;"",M70&lt;&gt;""),"Complete review details",IF(I70&lt;=TODAY(),"Review due","Retain")))))))))</x:f>
      </x:c>
      <x:c r="K70" s="7"/>
      <x:c r="L70" s="9"/>
      <x:c r="M70" s="7"/>
    </x:row>
    <x:row r="71" ht="25" customHeight="1">
      <x:c r="A71" s="7"/>
      <x:c r="B71" s="7"/>
      <x:c r="C71" s="7"/>
      <x:c r="D71" s="9"/>
      <x:c r="E71" s="7"/>
      <x:c r="F71" s="7"/>
      <x:c r="G71" s="8" t="str">
        <x:f>IF(OR(A71="",COUNTIFS(Retention!$A$6:$A$15,B71)&lt;&gt;1),"",INDEX(Retention!$C$6:$C$15,MATCH(B71,Retention!$A$6:$A$15,0)))</x:f>
      </x:c>
      <x:c r="H71" s="8" t="str">
        <x:f>IF(OR(A71="",COUNTIFS(Retention!$A$6:$A$15,B71)&lt;&gt;1),"",INDEX(Retention!$D$6:$D$15,MATCH(B71,Retention!$A$6:$A$15,0)))</x:f>
      </x:c>
      <x:c r="I71" s="10" t="str">
        <x:f>IF(OR(A71="",NOT(ISNUMBER(D71)),NOT(ISNUMBER(G71))),"",IF(G71&lt;1,"",IF(H71="months",EDATE(D71,G71),IF(H71="days",D71+G71,""))))</x:f>
      </x:c>
      <x:c r="J71" s="8" t="str">
        <x:f>IF(A71="","",IF(COUNTIFS(Retention!$A$6:$A$15,B71)&lt;&gt;1,"Check category",IF(NOT(ISNUMBER(D71)),"Set start date",IF(NOT(ISNUMBER(I71)),"Check rule",IF(AND(E71&lt;&gt;"Yes",E71&lt;&gt;"No"),"Set hold flag",IF(E71="Yes","Hold",IF(AND(K71&lt;&gt;"",ISNUMBER(L71),M71&lt;&gt;""),"Review recorded",IF(OR(K71&lt;&gt;"",L71&lt;&gt;"",M71&lt;&gt;""),"Complete review details",IF(I71&lt;=TODAY(),"Review due","Retain")))))))))</x:f>
      </x:c>
      <x:c r="K71" s="7"/>
      <x:c r="L71" s="9"/>
      <x:c r="M71" s="7"/>
    </x:row>
    <x:row r="72" ht="25" customHeight="1">
      <x:c r="A72" s="7"/>
      <x:c r="B72" s="7"/>
      <x:c r="C72" s="7"/>
      <x:c r="D72" s="9"/>
      <x:c r="E72" s="7"/>
      <x:c r="F72" s="7"/>
      <x:c r="G72" s="8" t="str">
        <x:f>IF(OR(A72="",COUNTIFS(Retention!$A$6:$A$15,B72)&lt;&gt;1),"",INDEX(Retention!$C$6:$C$15,MATCH(B72,Retention!$A$6:$A$15,0)))</x:f>
      </x:c>
      <x:c r="H72" s="8" t="str">
        <x:f>IF(OR(A72="",COUNTIFS(Retention!$A$6:$A$15,B72)&lt;&gt;1),"",INDEX(Retention!$D$6:$D$15,MATCH(B72,Retention!$A$6:$A$15,0)))</x:f>
      </x:c>
      <x:c r="I72" s="10" t="str">
        <x:f>IF(OR(A72="",NOT(ISNUMBER(D72)),NOT(ISNUMBER(G72))),"",IF(G72&lt;1,"",IF(H72="months",EDATE(D72,G72),IF(H72="days",D72+G72,""))))</x:f>
      </x:c>
      <x:c r="J72" s="8" t="str">
        <x:f>IF(A72="","",IF(COUNTIFS(Retention!$A$6:$A$15,B72)&lt;&gt;1,"Check category",IF(NOT(ISNUMBER(D72)),"Set start date",IF(NOT(ISNUMBER(I72)),"Check rule",IF(AND(E72&lt;&gt;"Yes",E72&lt;&gt;"No"),"Set hold flag",IF(E72="Yes","Hold",IF(AND(K72&lt;&gt;"",ISNUMBER(L72),M72&lt;&gt;""),"Review recorded",IF(OR(K72&lt;&gt;"",L72&lt;&gt;"",M72&lt;&gt;""),"Complete review details",IF(I72&lt;=TODAY(),"Review due","Retain")))))))))</x:f>
      </x:c>
      <x:c r="K72" s="7"/>
      <x:c r="L72" s="9"/>
      <x:c r="M72" s="7"/>
    </x:row>
    <x:row r="73" ht="25" customHeight="1">
      <x:c r="A73" s="7"/>
      <x:c r="B73" s="7"/>
      <x:c r="C73" s="7"/>
      <x:c r="D73" s="9"/>
      <x:c r="E73" s="7"/>
      <x:c r="F73" s="7"/>
      <x:c r="G73" s="8" t="str">
        <x:f>IF(OR(A73="",COUNTIFS(Retention!$A$6:$A$15,B73)&lt;&gt;1),"",INDEX(Retention!$C$6:$C$15,MATCH(B73,Retention!$A$6:$A$15,0)))</x:f>
      </x:c>
      <x:c r="H73" s="8" t="str">
        <x:f>IF(OR(A73="",COUNTIFS(Retention!$A$6:$A$15,B73)&lt;&gt;1),"",INDEX(Retention!$D$6:$D$15,MATCH(B73,Retention!$A$6:$A$15,0)))</x:f>
      </x:c>
      <x:c r="I73" s="10" t="str">
        <x:f>IF(OR(A73="",NOT(ISNUMBER(D73)),NOT(ISNUMBER(G73))),"",IF(G73&lt;1,"",IF(H73="months",EDATE(D73,G73),IF(H73="days",D73+G73,""))))</x:f>
      </x:c>
      <x:c r="J73" s="8" t="str">
        <x:f>IF(A73="","",IF(COUNTIFS(Retention!$A$6:$A$15,B73)&lt;&gt;1,"Check category",IF(NOT(ISNUMBER(D73)),"Set start date",IF(NOT(ISNUMBER(I73)),"Check rule",IF(AND(E73&lt;&gt;"Yes",E73&lt;&gt;"No"),"Set hold flag",IF(E73="Yes","Hold",IF(AND(K73&lt;&gt;"",ISNUMBER(L73),M73&lt;&gt;""),"Review recorded",IF(OR(K73&lt;&gt;"",L73&lt;&gt;"",M73&lt;&gt;""),"Complete review details",IF(I73&lt;=TODAY(),"Review due","Retain")))))))))</x:f>
      </x:c>
      <x:c r="K73" s="7"/>
      <x:c r="L73" s="9"/>
      <x:c r="M73" s="7"/>
    </x:row>
    <x:row r="74" ht="25" customHeight="1">
      <x:c r="A74" s="7"/>
      <x:c r="B74" s="7"/>
      <x:c r="C74" s="7"/>
      <x:c r="D74" s="9"/>
      <x:c r="E74" s="7"/>
      <x:c r="F74" s="7"/>
      <x:c r="G74" s="8" t="str">
        <x:f>IF(OR(A74="",COUNTIFS(Retention!$A$6:$A$15,B74)&lt;&gt;1),"",INDEX(Retention!$C$6:$C$15,MATCH(B74,Retention!$A$6:$A$15,0)))</x:f>
      </x:c>
      <x:c r="H74" s="8" t="str">
        <x:f>IF(OR(A74="",COUNTIFS(Retention!$A$6:$A$15,B74)&lt;&gt;1),"",INDEX(Retention!$D$6:$D$15,MATCH(B74,Retention!$A$6:$A$15,0)))</x:f>
      </x:c>
      <x:c r="I74" s="10" t="str">
        <x:f>IF(OR(A74="",NOT(ISNUMBER(D74)),NOT(ISNUMBER(G74))),"",IF(G74&lt;1,"",IF(H74="months",EDATE(D74,G74),IF(H74="days",D74+G74,""))))</x:f>
      </x:c>
      <x:c r="J74" s="8" t="str">
        <x:f>IF(A74="","",IF(COUNTIFS(Retention!$A$6:$A$15,B74)&lt;&gt;1,"Check category",IF(NOT(ISNUMBER(D74)),"Set start date",IF(NOT(ISNUMBER(I74)),"Check rule",IF(AND(E74&lt;&gt;"Yes",E74&lt;&gt;"No"),"Set hold flag",IF(E74="Yes","Hold",IF(AND(K74&lt;&gt;"",ISNUMBER(L74),M74&lt;&gt;""),"Review recorded",IF(OR(K74&lt;&gt;"",L74&lt;&gt;"",M74&lt;&gt;""),"Complete review details",IF(I74&lt;=TODAY(),"Review due","Retain")))))))))</x:f>
      </x:c>
      <x:c r="K74" s="7"/>
      <x:c r="L74" s="9"/>
      <x:c r="M74" s="7"/>
    </x:row>
    <x:row r="75" ht="25" customHeight="1">
      <x:c r="A75" s="7"/>
      <x:c r="B75" s="7"/>
      <x:c r="C75" s="7"/>
      <x:c r="D75" s="9"/>
      <x:c r="E75" s="7"/>
      <x:c r="F75" s="7"/>
      <x:c r="G75" s="8" t="str">
        <x:f>IF(OR(A75="",COUNTIFS(Retention!$A$6:$A$15,B75)&lt;&gt;1),"",INDEX(Retention!$C$6:$C$15,MATCH(B75,Retention!$A$6:$A$15,0)))</x:f>
      </x:c>
      <x:c r="H75" s="8" t="str">
        <x:f>IF(OR(A75="",COUNTIFS(Retention!$A$6:$A$15,B75)&lt;&gt;1),"",INDEX(Retention!$D$6:$D$15,MATCH(B75,Retention!$A$6:$A$15,0)))</x:f>
      </x:c>
      <x:c r="I75" s="10" t="str">
        <x:f>IF(OR(A75="",NOT(ISNUMBER(D75)),NOT(ISNUMBER(G75))),"",IF(G75&lt;1,"",IF(H75="months",EDATE(D75,G75),IF(H75="days",D75+G75,""))))</x:f>
      </x:c>
      <x:c r="J75" s="8" t="str">
        <x:f>IF(A75="","",IF(COUNTIFS(Retention!$A$6:$A$15,B75)&lt;&gt;1,"Check category",IF(NOT(ISNUMBER(D75)),"Set start date",IF(NOT(ISNUMBER(I75)),"Check rule",IF(AND(E75&lt;&gt;"Yes",E75&lt;&gt;"No"),"Set hold flag",IF(E75="Yes","Hold",IF(AND(K75&lt;&gt;"",ISNUMBER(L75),M75&lt;&gt;""),"Review recorded",IF(OR(K75&lt;&gt;"",L75&lt;&gt;"",M75&lt;&gt;""),"Complete review details",IF(I75&lt;=TODAY(),"Review due","Retain")))))))))</x:f>
      </x:c>
      <x:c r="K75" s="7"/>
      <x:c r="L75" s="9"/>
      <x:c r="M75" s="7"/>
    </x:row>
    <x:row r="76" ht="25" customHeight="1">
      <x:c r="A76" s="7"/>
      <x:c r="B76" s="7"/>
      <x:c r="C76" s="7"/>
      <x:c r="D76" s="9"/>
      <x:c r="E76" s="7"/>
      <x:c r="F76" s="7"/>
      <x:c r="G76" s="8" t="str">
        <x:f>IF(OR(A76="",COUNTIFS(Retention!$A$6:$A$15,B76)&lt;&gt;1),"",INDEX(Retention!$C$6:$C$15,MATCH(B76,Retention!$A$6:$A$15,0)))</x:f>
      </x:c>
      <x:c r="H76" s="8" t="str">
        <x:f>IF(OR(A76="",COUNTIFS(Retention!$A$6:$A$15,B76)&lt;&gt;1),"",INDEX(Retention!$D$6:$D$15,MATCH(B76,Retention!$A$6:$A$15,0)))</x:f>
      </x:c>
      <x:c r="I76" s="10" t="str">
        <x:f>IF(OR(A76="",NOT(ISNUMBER(D76)),NOT(ISNUMBER(G76))),"",IF(G76&lt;1,"",IF(H76="months",EDATE(D76,G76),IF(H76="days",D76+G76,""))))</x:f>
      </x:c>
      <x:c r="J76" s="8" t="str">
        <x:f>IF(A76="","",IF(COUNTIFS(Retention!$A$6:$A$15,B76)&lt;&gt;1,"Check category",IF(NOT(ISNUMBER(D76)),"Set start date",IF(NOT(ISNUMBER(I76)),"Check rule",IF(AND(E76&lt;&gt;"Yes",E76&lt;&gt;"No"),"Set hold flag",IF(E76="Yes","Hold",IF(AND(K76&lt;&gt;"",ISNUMBER(L76),M76&lt;&gt;""),"Review recorded",IF(OR(K76&lt;&gt;"",L76&lt;&gt;"",M76&lt;&gt;""),"Complete review details",IF(I76&lt;=TODAY(),"Review due","Retain")))))))))</x:f>
      </x:c>
      <x:c r="K76" s="7"/>
      <x:c r="L76" s="9"/>
      <x:c r="M76" s="7"/>
    </x:row>
    <x:row r="77" ht="25" customHeight="1">
      <x:c r="A77" s="7"/>
      <x:c r="B77" s="7"/>
      <x:c r="C77" s="7"/>
      <x:c r="D77" s="9"/>
      <x:c r="E77" s="7"/>
      <x:c r="F77" s="7"/>
      <x:c r="G77" s="8" t="str">
        <x:f>IF(OR(A77="",COUNTIFS(Retention!$A$6:$A$15,B77)&lt;&gt;1),"",INDEX(Retention!$C$6:$C$15,MATCH(B77,Retention!$A$6:$A$15,0)))</x:f>
      </x:c>
      <x:c r="H77" s="8" t="str">
        <x:f>IF(OR(A77="",COUNTIFS(Retention!$A$6:$A$15,B77)&lt;&gt;1),"",INDEX(Retention!$D$6:$D$15,MATCH(B77,Retention!$A$6:$A$15,0)))</x:f>
      </x:c>
      <x:c r="I77" s="10" t="str">
        <x:f>IF(OR(A77="",NOT(ISNUMBER(D77)),NOT(ISNUMBER(G77))),"",IF(G77&lt;1,"",IF(H77="months",EDATE(D77,G77),IF(H77="days",D77+G77,""))))</x:f>
      </x:c>
      <x:c r="J77" s="8" t="str">
        <x:f>IF(A77="","",IF(COUNTIFS(Retention!$A$6:$A$15,B77)&lt;&gt;1,"Check category",IF(NOT(ISNUMBER(D77)),"Set start date",IF(NOT(ISNUMBER(I77)),"Check rule",IF(AND(E77&lt;&gt;"Yes",E77&lt;&gt;"No"),"Set hold flag",IF(E77="Yes","Hold",IF(AND(K77&lt;&gt;"",ISNUMBER(L77),M77&lt;&gt;""),"Review recorded",IF(OR(K77&lt;&gt;"",L77&lt;&gt;"",M77&lt;&gt;""),"Complete review details",IF(I77&lt;=TODAY(),"Review due","Retain")))))))))</x:f>
      </x:c>
      <x:c r="K77" s="7"/>
      <x:c r="L77" s="9"/>
      <x:c r="M77" s="7"/>
    </x:row>
    <x:row r="78" ht="25" customHeight="1">
      <x:c r="A78" s="7"/>
      <x:c r="B78" s="7"/>
      <x:c r="C78" s="7"/>
      <x:c r="D78" s="9"/>
      <x:c r="E78" s="7"/>
      <x:c r="F78" s="7"/>
      <x:c r="G78" s="8" t="str">
        <x:f>IF(OR(A78="",COUNTIFS(Retention!$A$6:$A$15,B78)&lt;&gt;1),"",INDEX(Retention!$C$6:$C$15,MATCH(B78,Retention!$A$6:$A$15,0)))</x:f>
      </x:c>
      <x:c r="H78" s="8" t="str">
        <x:f>IF(OR(A78="",COUNTIFS(Retention!$A$6:$A$15,B78)&lt;&gt;1),"",INDEX(Retention!$D$6:$D$15,MATCH(B78,Retention!$A$6:$A$15,0)))</x:f>
      </x:c>
      <x:c r="I78" s="10" t="str">
        <x:f>IF(OR(A78="",NOT(ISNUMBER(D78)),NOT(ISNUMBER(G78))),"",IF(G78&lt;1,"",IF(H78="months",EDATE(D78,G78),IF(H78="days",D78+G78,""))))</x:f>
      </x:c>
      <x:c r="J78" s="8" t="str">
        <x:f>IF(A78="","",IF(COUNTIFS(Retention!$A$6:$A$15,B78)&lt;&gt;1,"Check category",IF(NOT(ISNUMBER(D78)),"Set start date",IF(NOT(ISNUMBER(I78)),"Check rule",IF(AND(E78&lt;&gt;"Yes",E78&lt;&gt;"No"),"Set hold flag",IF(E78="Yes","Hold",IF(AND(K78&lt;&gt;"",ISNUMBER(L78),M78&lt;&gt;""),"Review recorded",IF(OR(K78&lt;&gt;"",L78&lt;&gt;"",M78&lt;&gt;""),"Complete review details",IF(I78&lt;=TODAY(),"Review due","Retain")))))))))</x:f>
      </x:c>
      <x:c r="K78" s="7"/>
      <x:c r="L78" s="9"/>
      <x:c r="M78" s="7"/>
    </x:row>
    <x:row r="79" ht="25" customHeight="1">
      <x:c r="A79" s="7"/>
      <x:c r="B79" s="7"/>
      <x:c r="C79" s="7"/>
      <x:c r="D79" s="9"/>
      <x:c r="E79" s="7"/>
      <x:c r="F79" s="7"/>
      <x:c r="G79" s="8" t="str">
        <x:f>IF(OR(A79="",COUNTIFS(Retention!$A$6:$A$15,B79)&lt;&gt;1),"",INDEX(Retention!$C$6:$C$15,MATCH(B79,Retention!$A$6:$A$15,0)))</x:f>
      </x:c>
      <x:c r="H79" s="8" t="str">
        <x:f>IF(OR(A79="",COUNTIFS(Retention!$A$6:$A$15,B79)&lt;&gt;1),"",INDEX(Retention!$D$6:$D$15,MATCH(B79,Retention!$A$6:$A$15,0)))</x:f>
      </x:c>
      <x:c r="I79" s="10" t="str">
        <x:f>IF(OR(A79="",NOT(ISNUMBER(D79)),NOT(ISNUMBER(G79))),"",IF(G79&lt;1,"",IF(H79="months",EDATE(D79,G79),IF(H79="days",D79+G79,""))))</x:f>
      </x:c>
      <x:c r="J79" s="8" t="str">
        <x:f>IF(A79="","",IF(COUNTIFS(Retention!$A$6:$A$15,B79)&lt;&gt;1,"Check category",IF(NOT(ISNUMBER(D79)),"Set start date",IF(NOT(ISNUMBER(I79)),"Check rule",IF(AND(E79&lt;&gt;"Yes",E79&lt;&gt;"No"),"Set hold flag",IF(E79="Yes","Hold",IF(AND(K79&lt;&gt;"",ISNUMBER(L79),M79&lt;&gt;""),"Review recorded",IF(OR(K79&lt;&gt;"",L79&lt;&gt;"",M79&lt;&gt;""),"Complete review details",IF(I79&lt;=TODAY(),"Review due","Retain")))))))))</x:f>
      </x:c>
      <x:c r="K79" s="7"/>
      <x:c r="L79" s="9"/>
      <x:c r="M79" s="7"/>
    </x:row>
    <x:row r="80" ht="25" customHeight="1">
      <x:c r="A80" s="7"/>
      <x:c r="B80" s="7"/>
      <x:c r="C80" s="7"/>
      <x:c r="D80" s="9"/>
      <x:c r="E80" s="7"/>
      <x:c r="F80" s="7"/>
      <x:c r="G80" s="8" t="str">
        <x:f>IF(OR(A80="",COUNTIFS(Retention!$A$6:$A$15,B80)&lt;&gt;1),"",INDEX(Retention!$C$6:$C$15,MATCH(B80,Retention!$A$6:$A$15,0)))</x:f>
      </x:c>
      <x:c r="H80" s="8" t="str">
        <x:f>IF(OR(A80="",COUNTIFS(Retention!$A$6:$A$15,B80)&lt;&gt;1),"",INDEX(Retention!$D$6:$D$15,MATCH(B80,Retention!$A$6:$A$15,0)))</x:f>
      </x:c>
      <x:c r="I80" s="10" t="str">
        <x:f>IF(OR(A80="",NOT(ISNUMBER(D80)),NOT(ISNUMBER(G80))),"",IF(G80&lt;1,"",IF(H80="months",EDATE(D80,G80),IF(H80="days",D80+G80,""))))</x:f>
      </x:c>
      <x:c r="J80" s="8" t="str">
        <x:f>IF(A80="","",IF(COUNTIFS(Retention!$A$6:$A$15,B80)&lt;&gt;1,"Check category",IF(NOT(ISNUMBER(D80)),"Set start date",IF(NOT(ISNUMBER(I80)),"Check rule",IF(AND(E80&lt;&gt;"Yes",E80&lt;&gt;"No"),"Set hold flag",IF(E80="Yes","Hold",IF(AND(K80&lt;&gt;"",ISNUMBER(L80),M80&lt;&gt;""),"Review recorded",IF(OR(K80&lt;&gt;"",L80&lt;&gt;"",M80&lt;&gt;""),"Complete review details",IF(I80&lt;=TODAY(),"Review due","Retain")))))))))</x:f>
      </x:c>
      <x:c r="K80" s="7"/>
      <x:c r="L80" s="9"/>
      <x:c r="M80" s="7"/>
    </x:row>
    <x:row r="81" ht="25" customHeight="1">
      <x:c r="A81" s="7"/>
      <x:c r="B81" s="7"/>
      <x:c r="C81" s="7"/>
      <x:c r="D81" s="9"/>
      <x:c r="E81" s="7"/>
      <x:c r="F81" s="7"/>
      <x:c r="G81" s="8" t="str">
        <x:f>IF(OR(A81="",COUNTIFS(Retention!$A$6:$A$15,B81)&lt;&gt;1),"",INDEX(Retention!$C$6:$C$15,MATCH(B81,Retention!$A$6:$A$15,0)))</x:f>
      </x:c>
      <x:c r="H81" s="8" t="str">
        <x:f>IF(OR(A81="",COUNTIFS(Retention!$A$6:$A$15,B81)&lt;&gt;1),"",INDEX(Retention!$D$6:$D$15,MATCH(B81,Retention!$A$6:$A$15,0)))</x:f>
      </x:c>
      <x:c r="I81" s="10" t="str">
        <x:f>IF(OR(A81="",NOT(ISNUMBER(D81)),NOT(ISNUMBER(G81))),"",IF(G81&lt;1,"",IF(H81="months",EDATE(D81,G81),IF(H81="days",D81+G81,""))))</x:f>
      </x:c>
      <x:c r="J81" s="8" t="str">
        <x:f>IF(A81="","",IF(COUNTIFS(Retention!$A$6:$A$15,B81)&lt;&gt;1,"Check category",IF(NOT(ISNUMBER(D81)),"Set start date",IF(NOT(ISNUMBER(I81)),"Check rule",IF(AND(E81&lt;&gt;"Yes",E81&lt;&gt;"No"),"Set hold flag",IF(E81="Yes","Hold",IF(AND(K81&lt;&gt;"",ISNUMBER(L81),M81&lt;&gt;""),"Review recorded",IF(OR(K81&lt;&gt;"",L81&lt;&gt;"",M81&lt;&gt;""),"Complete review details",IF(I81&lt;=TODAY(),"Review due","Retain")))))))))</x:f>
      </x:c>
      <x:c r="K81" s="7"/>
      <x:c r="L81" s="9"/>
      <x:c r="M81" s="7"/>
    </x:row>
    <x:row r="82" ht="25" customHeight="1">
      <x:c r="A82" s="7"/>
      <x:c r="B82" s="7"/>
      <x:c r="C82" s="7"/>
      <x:c r="D82" s="9"/>
      <x:c r="E82" s="7"/>
      <x:c r="F82" s="7"/>
      <x:c r="G82" s="8" t="str">
        <x:f>IF(OR(A82="",COUNTIFS(Retention!$A$6:$A$15,B82)&lt;&gt;1),"",INDEX(Retention!$C$6:$C$15,MATCH(B82,Retention!$A$6:$A$15,0)))</x:f>
      </x:c>
      <x:c r="H82" s="8" t="str">
        <x:f>IF(OR(A82="",COUNTIFS(Retention!$A$6:$A$15,B82)&lt;&gt;1),"",INDEX(Retention!$D$6:$D$15,MATCH(B82,Retention!$A$6:$A$15,0)))</x:f>
      </x:c>
      <x:c r="I82" s="10" t="str">
        <x:f>IF(OR(A82="",NOT(ISNUMBER(D82)),NOT(ISNUMBER(G82))),"",IF(G82&lt;1,"",IF(H82="months",EDATE(D82,G82),IF(H82="days",D82+G82,""))))</x:f>
      </x:c>
      <x:c r="J82" s="8" t="str">
        <x:f>IF(A82="","",IF(COUNTIFS(Retention!$A$6:$A$15,B82)&lt;&gt;1,"Check category",IF(NOT(ISNUMBER(D82)),"Set start date",IF(NOT(ISNUMBER(I82)),"Check rule",IF(AND(E82&lt;&gt;"Yes",E82&lt;&gt;"No"),"Set hold flag",IF(E82="Yes","Hold",IF(AND(K82&lt;&gt;"",ISNUMBER(L82),M82&lt;&gt;""),"Review recorded",IF(OR(K82&lt;&gt;"",L82&lt;&gt;"",M82&lt;&gt;""),"Complete review details",IF(I82&lt;=TODAY(),"Review due","Retain")))))))))</x:f>
      </x:c>
      <x:c r="K82" s="7"/>
      <x:c r="L82" s="9"/>
      <x:c r="M82" s="7"/>
    </x:row>
    <x:row r="83" ht="25" customHeight="1">
      <x:c r="A83" s="7"/>
      <x:c r="B83" s="7"/>
      <x:c r="C83" s="7"/>
      <x:c r="D83" s="9"/>
      <x:c r="E83" s="7"/>
      <x:c r="F83" s="7"/>
      <x:c r="G83" s="8" t="str">
        <x:f>IF(OR(A83="",COUNTIFS(Retention!$A$6:$A$15,B83)&lt;&gt;1),"",INDEX(Retention!$C$6:$C$15,MATCH(B83,Retention!$A$6:$A$15,0)))</x:f>
      </x:c>
      <x:c r="H83" s="8" t="str">
        <x:f>IF(OR(A83="",COUNTIFS(Retention!$A$6:$A$15,B83)&lt;&gt;1),"",INDEX(Retention!$D$6:$D$15,MATCH(B83,Retention!$A$6:$A$15,0)))</x:f>
      </x:c>
      <x:c r="I83" s="10" t="str">
        <x:f>IF(OR(A83="",NOT(ISNUMBER(D83)),NOT(ISNUMBER(G83))),"",IF(G83&lt;1,"",IF(H83="months",EDATE(D83,G83),IF(H83="days",D83+G83,""))))</x:f>
      </x:c>
      <x:c r="J83" s="8" t="str">
        <x:f>IF(A83="","",IF(COUNTIFS(Retention!$A$6:$A$15,B83)&lt;&gt;1,"Check category",IF(NOT(ISNUMBER(D83)),"Set start date",IF(NOT(ISNUMBER(I83)),"Check rule",IF(AND(E83&lt;&gt;"Yes",E83&lt;&gt;"No"),"Set hold flag",IF(E83="Yes","Hold",IF(AND(K83&lt;&gt;"",ISNUMBER(L83),M83&lt;&gt;""),"Review recorded",IF(OR(K83&lt;&gt;"",L83&lt;&gt;"",M83&lt;&gt;""),"Complete review details",IF(I83&lt;=TODAY(),"Review due","Retain")))))))))</x:f>
      </x:c>
      <x:c r="K83" s="7"/>
      <x:c r="L83" s="9"/>
      <x:c r="M83" s="7"/>
    </x:row>
    <x:row r="84" ht="25" customHeight="1">
      <x:c r="A84" s="7"/>
      <x:c r="B84" s="7"/>
      <x:c r="C84" s="7"/>
      <x:c r="D84" s="9"/>
      <x:c r="E84" s="7"/>
      <x:c r="F84" s="7"/>
      <x:c r="G84" s="8" t="str">
        <x:f>IF(OR(A84="",COUNTIFS(Retention!$A$6:$A$15,B84)&lt;&gt;1),"",INDEX(Retention!$C$6:$C$15,MATCH(B84,Retention!$A$6:$A$15,0)))</x:f>
      </x:c>
      <x:c r="H84" s="8" t="str">
        <x:f>IF(OR(A84="",COUNTIFS(Retention!$A$6:$A$15,B84)&lt;&gt;1),"",INDEX(Retention!$D$6:$D$15,MATCH(B84,Retention!$A$6:$A$15,0)))</x:f>
      </x:c>
      <x:c r="I84" s="10" t="str">
        <x:f>IF(OR(A84="",NOT(ISNUMBER(D84)),NOT(ISNUMBER(G84))),"",IF(G84&lt;1,"",IF(H84="months",EDATE(D84,G84),IF(H84="days",D84+G84,""))))</x:f>
      </x:c>
      <x:c r="J84" s="8" t="str">
        <x:f>IF(A84="","",IF(COUNTIFS(Retention!$A$6:$A$15,B84)&lt;&gt;1,"Check category",IF(NOT(ISNUMBER(D84)),"Set start date",IF(NOT(ISNUMBER(I84)),"Check rule",IF(AND(E84&lt;&gt;"Yes",E84&lt;&gt;"No"),"Set hold flag",IF(E84="Yes","Hold",IF(AND(K84&lt;&gt;"",ISNUMBER(L84),M84&lt;&gt;""),"Review recorded",IF(OR(K84&lt;&gt;"",L84&lt;&gt;"",M84&lt;&gt;""),"Complete review details",IF(I84&lt;=TODAY(),"Review due","Retain")))))))))</x:f>
      </x:c>
      <x:c r="K84" s="7"/>
      <x:c r="L84" s="9"/>
      <x:c r="M84" s="7"/>
    </x:row>
    <x:row r="85" ht="25" customHeight="1">
      <x:c r="A85" s="7"/>
      <x:c r="B85" s="7"/>
      <x:c r="C85" s="7"/>
      <x:c r="D85" s="9"/>
      <x:c r="E85" s="7"/>
      <x:c r="F85" s="7"/>
      <x:c r="G85" s="8" t="str">
        <x:f>IF(OR(A85="",COUNTIFS(Retention!$A$6:$A$15,B85)&lt;&gt;1),"",INDEX(Retention!$C$6:$C$15,MATCH(B85,Retention!$A$6:$A$15,0)))</x:f>
      </x:c>
      <x:c r="H85" s="8" t="str">
        <x:f>IF(OR(A85="",COUNTIFS(Retention!$A$6:$A$15,B85)&lt;&gt;1),"",INDEX(Retention!$D$6:$D$15,MATCH(B85,Retention!$A$6:$A$15,0)))</x:f>
      </x:c>
      <x:c r="I85" s="10" t="str">
        <x:f>IF(OR(A85="",NOT(ISNUMBER(D85)),NOT(ISNUMBER(G85))),"",IF(G85&lt;1,"",IF(H85="months",EDATE(D85,G85),IF(H85="days",D85+G85,""))))</x:f>
      </x:c>
      <x:c r="J85" s="8" t="str">
        <x:f>IF(A85="","",IF(COUNTIFS(Retention!$A$6:$A$15,B85)&lt;&gt;1,"Check category",IF(NOT(ISNUMBER(D85)),"Set start date",IF(NOT(ISNUMBER(I85)),"Check rule",IF(AND(E85&lt;&gt;"Yes",E85&lt;&gt;"No"),"Set hold flag",IF(E85="Yes","Hold",IF(AND(K85&lt;&gt;"",ISNUMBER(L85),M85&lt;&gt;""),"Review recorded",IF(OR(K85&lt;&gt;"",L85&lt;&gt;"",M85&lt;&gt;""),"Complete review details",IF(I85&lt;=TODAY(),"Review due","Retain")))))))))</x:f>
      </x:c>
      <x:c r="K85" s="7"/>
      <x:c r="L85" s="9"/>
      <x:c r="M85" s="7"/>
    </x:row>
    <x:row r="86" ht="25" customHeight="1">
      <x:c r="A86" s="7"/>
      <x:c r="B86" s="7"/>
      <x:c r="C86" s="7"/>
      <x:c r="D86" s="9"/>
      <x:c r="E86" s="7"/>
      <x:c r="F86" s="7"/>
      <x:c r="G86" s="8" t="str">
        <x:f>IF(OR(A86="",COUNTIFS(Retention!$A$6:$A$15,B86)&lt;&gt;1),"",INDEX(Retention!$C$6:$C$15,MATCH(B86,Retention!$A$6:$A$15,0)))</x:f>
      </x:c>
      <x:c r="H86" s="8" t="str">
        <x:f>IF(OR(A86="",COUNTIFS(Retention!$A$6:$A$15,B86)&lt;&gt;1),"",INDEX(Retention!$D$6:$D$15,MATCH(B86,Retention!$A$6:$A$15,0)))</x:f>
      </x:c>
      <x:c r="I86" s="10" t="str">
        <x:f>IF(OR(A86="",NOT(ISNUMBER(D86)),NOT(ISNUMBER(G86))),"",IF(G86&lt;1,"",IF(H86="months",EDATE(D86,G86),IF(H86="days",D86+G86,""))))</x:f>
      </x:c>
      <x:c r="J86" s="8" t="str">
        <x:f>IF(A86="","",IF(COUNTIFS(Retention!$A$6:$A$15,B86)&lt;&gt;1,"Check category",IF(NOT(ISNUMBER(D86)),"Set start date",IF(NOT(ISNUMBER(I86)),"Check rule",IF(AND(E86&lt;&gt;"Yes",E86&lt;&gt;"No"),"Set hold flag",IF(E86="Yes","Hold",IF(AND(K86&lt;&gt;"",ISNUMBER(L86),M86&lt;&gt;""),"Review recorded",IF(OR(K86&lt;&gt;"",L86&lt;&gt;"",M86&lt;&gt;""),"Complete review details",IF(I86&lt;=TODAY(),"Review due","Retain")))))))))</x:f>
      </x:c>
      <x:c r="K86" s="7"/>
      <x:c r="L86" s="9"/>
      <x:c r="M86" s="7"/>
    </x:row>
    <x:row r="87" ht="25" customHeight="1">
      <x:c r="A87" s="7"/>
      <x:c r="B87" s="7"/>
      <x:c r="C87" s="7"/>
      <x:c r="D87" s="9"/>
      <x:c r="E87" s="7"/>
      <x:c r="F87" s="7"/>
      <x:c r="G87" s="8" t="str">
        <x:f>IF(OR(A87="",COUNTIFS(Retention!$A$6:$A$15,B87)&lt;&gt;1),"",INDEX(Retention!$C$6:$C$15,MATCH(B87,Retention!$A$6:$A$15,0)))</x:f>
      </x:c>
      <x:c r="H87" s="8" t="str">
        <x:f>IF(OR(A87="",COUNTIFS(Retention!$A$6:$A$15,B87)&lt;&gt;1),"",INDEX(Retention!$D$6:$D$15,MATCH(B87,Retention!$A$6:$A$15,0)))</x:f>
      </x:c>
      <x:c r="I87" s="10" t="str">
        <x:f>IF(OR(A87="",NOT(ISNUMBER(D87)),NOT(ISNUMBER(G87))),"",IF(G87&lt;1,"",IF(H87="months",EDATE(D87,G87),IF(H87="days",D87+G87,""))))</x:f>
      </x:c>
      <x:c r="J87" s="8" t="str">
        <x:f>IF(A87="","",IF(COUNTIFS(Retention!$A$6:$A$15,B87)&lt;&gt;1,"Check category",IF(NOT(ISNUMBER(D87)),"Set start date",IF(NOT(ISNUMBER(I87)),"Check rule",IF(AND(E87&lt;&gt;"Yes",E87&lt;&gt;"No"),"Set hold flag",IF(E87="Yes","Hold",IF(AND(K87&lt;&gt;"",ISNUMBER(L87),M87&lt;&gt;""),"Review recorded",IF(OR(K87&lt;&gt;"",L87&lt;&gt;"",M87&lt;&gt;""),"Complete review details",IF(I87&lt;=TODAY(),"Review due","Retain")))))))))</x:f>
      </x:c>
      <x:c r="K87" s="7"/>
      <x:c r="L87" s="9"/>
      <x:c r="M87" s="7"/>
    </x:row>
    <x:row r="88" ht="25" customHeight="1">
      <x:c r="A88" s="7"/>
      <x:c r="B88" s="7"/>
      <x:c r="C88" s="7"/>
      <x:c r="D88" s="9"/>
      <x:c r="E88" s="7"/>
      <x:c r="F88" s="7"/>
      <x:c r="G88" s="8" t="str">
        <x:f>IF(OR(A88="",COUNTIFS(Retention!$A$6:$A$15,B88)&lt;&gt;1),"",INDEX(Retention!$C$6:$C$15,MATCH(B88,Retention!$A$6:$A$15,0)))</x:f>
      </x:c>
      <x:c r="H88" s="8" t="str">
        <x:f>IF(OR(A88="",COUNTIFS(Retention!$A$6:$A$15,B88)&lt;&gt;1),"",INDEX(Retention!$D$6:$D$15,MATCH(B88,Retention!$A$6:$A$15,0)))</x:f>
      </x:c>
      <x:c r="I88" s="10" t="str">
        <x:f>IF(OR(A88="",NOT(ISNUMBER(D88)),NOT(ISNUMBER(G88))),"",IF(G88&lt;1,"",IF(H88="months",EDATE(D88,G88),IF(H88="days",D88+G88,""))))</x:f>
      </x:c>
      <x:c r="J88" s="8" t="str">
        <x:f>IF(A88="","",IF(COUNTIFS(Retention!$A$6:$A$15,B88)&lt;&gt;1,"Check category",IF(NOT(ISNUMBER(D88)),"Set start date",IF(NOT(ISNUMBER(I88)),"Check rule",IF(AND(E88&lt;&gt;"Yes",E88&lt;&gt;"No"),"Set hold flag",IF(E88="Yes","Hold",IF(AND(K88&lt;&gt;"",ISNUMBER(L88),M88&lt;&gt;""),"Review recorded",IF(OR(K88&lt;&gt;"",L88&lt;&gt;"",M88&lt;&gt;""),"Complete review details",IF(I88&lt;=TODAY(),"Review due","Retain")))))))))</x:f>
      </x:c>
      <x:c r="K88" s="7"/>
      <x:c r="L88" s="9"/>
      <x:c r="M88" s="7"/>
    </x:row>
    <x:row r="89" ht="25" customHeight="1">
      <x:c r="A89" s="7"/>
      <x:c r="B89" s="7"/>
      <x:c r="C89" s="7"/>
      <x:c r="D89" s="9"/>
      <x:c r="E89" s="7"/>
      <x:c r="F89" s="7"/>
      <x:c r="G89" s="8" t="str">
        <x:f>IF(OR(A89="",COUNTIFS(Retention!$A$6:$A$15,B89)&lt;&gt;1),"",INDEX(Retention!$C$6:$C$15,MATCH(B89,Retention!$A$6:$A$15,0)))</x:f>
      </x:c>
      <x:c r="H89" s="8" t="str">
        <x:f>IF(OR(A89="",COUNTIFS(Retention!$A$6:$A$15,B89)&lt;&gt;1),"",INDEX(Retention!$D$6:$D$15,MATCH(B89,Retention!$A$6:$A$15,0)))</x:f>
      </x:c>
      <x:c r="I89" s="10" t="str">
        <x:f>IF(OR(A89="",NOT(ISNUMBER(D89)),NOT(ISNUMBER(G89))),"",IF(G89&lt;1,"",IF(H89="months",EDATE(D89,G89),IF(H89="days",D89+G89,""))))</x:f>
      </x:c>
      <x:c r="J89" s="8" t="str">
        <x:f>IF(A89="","",IF(COUNTIFS(Retention!$A$6:$A$15,B89)&lt;&gt;1,"Check category",IF(NOT(ISNUMBER(D89)),"Set start date",IF(NOT(ISNUMBER(I89)),"Check rule",IF(AND(E89&lt;&gt;"Yes",E89&lt;&gt;"No"),"Set hold flag",IF(E89="Yes","Hold",IF(AND(K89&lt;&gt;"",ISNUMBER(L89),M89&lt;&gt;""),"Review recorded",IF(OR(K89&lt;&gt;"",L89&lt;&gt;"",M89&lt;&gt;""),"Complete review details",IF(I89&lt;=TODAY(),"Review due","Retain")))))))))</x:f>
      </x:c>
      <x:c r="K89" s="7"/>
      <x:c r="L89" s="9"/>
      <x:c r="M89" s="7"/>
    </x:row>
    <x:row r="90" ht="25" customHeight="1">
      <x:c r="A90" s="7"/>
      <x:c r="B90" s="7"/>
      <x:c r="C90" s="7"/>
      <x:c r="D90" s="9"/>
      <x:c r="E90" s="7"/>
      <x:c r="F90" s="7"/>
      <x:c r="G90" s="8" t="str">
        <x:f>IF(OR(A90="",COUNTIFS(Retention!$A$6:$A$15,B90)&lt;&gt;1),"",INDEX(Retention!$C$6:$C$15,MATCH(B90,Retention!$A$6:$A$15,0)))</x:f>
      </x:c>
      <x:c r="H90" s="8" t="str">
        <x:f>IF(OR(A90="",COUNTIFS(Retention!$A$6:$A$15,B90)&lt;&gt;1),"",INDEX(Retention!$D$6:$D$15,MATCH(B90,Retention!$A$6:$A$15,0)))</x:f>
      </x:c>
      <x:c r="I90" s="10" t="str">
        <x:f>IF(OR(A90="",NOT(ISNUMBER(D90)),NOT(ISNUMBER(G90))),"",IF(G90&lt;1,"",IF(H90="months",EDATE(D90,G90),IF(H90="days",D90+G90,""))))</x:f>
      </x:c>
      <x:c r="J90" s="8" t="str">
        <x:f>IF(A90="","",IF(COUNTIFS(Retention!$A$6:$A$15,B90)&lt;&gt;1,"Check category",IF(NOT(ISNUMBER(D90)),"Set start date",IF(NOT(ISNUMBER(I90)),"Check rule",IF(AND(E90&lt;&gt;"Yes",E90&lt;&gt;"No"),"Set hold flag",IF(E90="Yes","Hold",IF(AND(K90&lt;&gt;"",ISNUMBER(L90),M90&lt;&gt;""),"Review recorded",IF(OR(K90&lt;&gt;"",L90&lt;&gt;"",M90&lt;&gt;""),"Complete review details",IF(I90&lt;=TODAY(),"Review due","Retain")))))))))</x:f>
      </x:c>
      <x:c r="K90" s="7"/>
      <x:c r="L90" s="9"/>
      <x:c r="M90" s="7"/>
    </x:row>
    <x:row r="91" ht="25" customHeight="1">
      <x:c r="A91" s="7"/>
      <x:c r="B91" s="7"/>
      <x:c r="C91" s="7"/>
      <x:c r="D91" s="9"/>
      <x:c r="E91" s="7"/>
      <x:c r="F91" s="7"/>
      <x:c r="G91" s="8" t="str">
        <x:f>IF(OR(A91="",COUNTIFS(Retention!$A$6:$A$15,B91)&lt;&gt;1),"",INDEX(Retention!$C$6:$C$15,MATCH(B91,Retention!$A$6:$A$15,0)))</x:f>
      </x:c>
      <x:c r="H91" s="8" t="str">
        <x:f>IF(OR(A91="",COUNTIFS(Retention!$A$6:$A$15,B91)&lt;&gt;1),"",INDEX(Retention!$D$6:$D$15,MATCH(B91,Retention!$A$6:$A$15,0)))</x:f>
      </x:c>
      <x:c r="I91" s="10" t="str">
        <x:f>IF(OR(A91="",NOT(ISNUMBER(D91)),NOT(ISNUMBER(G91))),"",IF(G91&lt;1,"",IF(H91="months",EDATE(D91,G91),IF(H91="days",D91+G91,""))))</x:f>
      </x:c>
      <x:c r="J91" s="8" t="str">
        <x:f>IF(A91="","",IF(COUNTIFS(Retention!$A$6:$A$15,B91)&lt;&gt;1,"Check category",IF(NOT(ISNUMBER(D91)),"Set start date",IF(NOT(ISNUMBER(I91)),"Check rule",IF(AND(E91&lt;&gt;"Yes",E91&lt;&gt;"No"),"Set hold flag",IF(E91="Yes","Hold",IF(AND(K91&lt;&gt;"",ISNUMBER(L91),M91&lt;&gt;""),"Review recorded",IF(OR(K91&lt;&gt;"",L91&lt;&gt;"",M91&lt;&gt;""),"Complete review details",IF(I91&lt;=TODAY(),"Review due","Retain")))))))))</x:f>
      </x:c>
      <x:c r="K91" s="7"/>
      <x:c r="L91" s="9"/>
      <x:c r="M91" s="7"/>
    </x:row>
    <x:row r="92" ht="25" customHeight="1">
      <x:c r="A92" s="7"/>
      <x:c r="B92" s="7"/>
      <x:c r="C92" s="7"/>
      <x:c r="D92" s="9"/>
      <x:c r="E92" s="7"/>
      <x:c r="F92" s="7"/>
      <x:c r="G92" s="8" t="str">
        <x:f>IF(OR(A92="",COUNTIFS(Retention!$A$6:$A$15,B92)&lt;&gt;1),"",INDEX(Retention!$C$6:$C$15,MATCH(B92,Retention!$A$6:$A$15,0)))</x:f>
      </x:c>
      <x:c r="H92" s="8" t="str">
        <x:f>IF(OR(A92="",COUNTIFS(Retention!$A$6:$A$15,B92)&lt;&gt;1),"",INDEX(Retention!$D$6:$D$15,MATCH(B92,Retention!$A$6:$A$15,0)))</x:f>
      </x:c>
      <x:c r="I92" s="10" t="str">
        <x:f>IF(OR(A92="",NOT(ISNUMBER(D92)),NOT(ISNUMBER(G92))),"",IF(G92&lt;1,"",IF(H92="months",EDATE(D92,G92),IF(H92="days",D92+G92,""))))</x:f>
      </x:c>
      <x:c r="J92" s="8" t="str">
        <x:f>IF(A92="","",IF(COUNTIFS(Retention!$A$6:$A$15,B92)&lt;&gt;1,"Check category",IF(NOT(ISNUMBER(D92)),"Set start date",IF(NOT(ISNUMBER(I92)),"Check rule",IF(AND(E92&lt;&gt;"Yes",E92&lt;&gt;"No"),"Set hold flag",IF(E92="Yes","Hold",IF(AND(K92&lt;&gt;"",ISNUMBER(L92),M92&lt;&gt;""),"Review recorded",IF(OR(K92&lt;&gt;"",L92&lt;&gt;"",M92&lt;&gt;""),"Complete review details",IF(I92&lt;=TODAY(),"Review due","Retain")))))))))</x:f>
      </x:c>
      <x:c r="K92" s="7"/>
      <x:c r="L92" s="9"/>
      <x:c r="M92" s="7"/>
    </x:row>
    <x:row r="93" ht="25" customHeight="1">
      <x:c r="A93" s="7"/>
      <x:c r="B93" s="7"/>
      <x:c r="C93" s="7"/>
      <x:c r="D93" s="9"/>
      <x:c r="E93" s="7"/>
      <x:c r="F93" s="7"/>
      <x:c r="G93" s="8" t="str">
        <x:f>IF(OR(A93="",COUNTIFS(Retention!$A$6:$A$15,B93)&lt;&gt;1),"",INDEX(Retention!$C$6:$C$15,MATCH(B93,Retention!$A$6:$A$15,0)))</x:f>
      </x:c>
      <x:c r="H93" s="8" t="str">
        <x:f>IF(OR(A93="",COUNTIFS(Retention!$A$6:$A$15,B93)&lt;&gt;1),"",INDEX(Retention!$D$6:$D$15,MATCH(B93,Retention!$A$6:$A$15,0)))</x:f>
      </x:c>
      <x:c r="I93" s="10" t="str">
        <x:f>IF(OR(A93="",NOT(ISNUMBER(D93)),NOT(ISNUMBER(G93))),"",IF(G93&lt;1,"",IF(H93="months",EDATE(D93,G93),IF(H93="days",D93+G93,""))))</x:f>
      </x:c>
      <x:c r="J93" s="8" t="str">
        <x:f>IF(A93="","",IF(COUNTIFS(Retention!$A$6:$A$15,B93)&lt;&gt;1,"Check category",IF(NOT(ISNUMBER(D93)),"Set start date",IF(NOT(ISNUMBER(I93)),"Check rule",IF(AND(E93&lt;&gt;"Yes",E93&lt;&gt;"No"),"Set hold flag",IF(E93="Yes","Hold",IF(AND(K93&lt;&gt;"",ISNUMBER(L93),M93&lt;&gt;""),"Review recorded",IF(OR(K93&lt;&gt;"",L93&lt;&gt;"",M93&lt;&gt;""),"Complete review details",IF(I93&lt;=TODAY(),"Review due","Retain")))))))))</x:f>
      </x:c>
      <x:c r="K93" s="7"/>
      <x:c r="L93" s="9"/>
      <x:c r="M93" s="7"/>
    </x:row>
    <x:row r="94" ht="25" customHeight="1">
      <x:c r="A94" s="7"/>
      <x:c r="B94" s="7"/>
      <x:c r="C94" s="7"/>
      <x:c r="D94" s="9"/>
      <x:c r="E94" s="7"/>
      <x:c r="F94" s="7"/>
      <x:c r="G94" s="8" t="str">
        <x:f>IF(OR(A94="",COUNTIFS(Retention!$A$6:$A$15,B94)&lt;&gt;1),"",INDEX(Retention!$C$6:$C$15,MATCH(B94,Retention!$A$6:$A$15,0)))</x:f>
      </x:c>
      <x:c r="H94" s="8" t="str">
        <x:f>IF(OR(A94="",COUNTIFS(Retention!$A$6:$A$15,B94)&lt;&gt;1),"",INDEX(Retention!$D$6:$D$15,MATCH(B94,Retention!$A$6:$A$15,0)))</x:f>
      </x:c>
      <x:c r="I94" s="10" t="str">
        <x:f>IF(OR(A94="",NOT(ISNUMBER(D94)),NOT(ISNUMBER(G94))),"",IF(G94&lt;1,"",IF(H94="months",EDATE(D94,G94),IF(H94="days",D94+G94,""))))</x:f>
      </x:c>
      <x:c r="J94" s="8" t="str">
        <x:f>IF(A94="","",IF(COUNTIFS(Retention!$A$6:$A$15,B94)&lt;&gt;1,"Check category",IF(NOT(ISNUMBER(D94)),"Set start date",IF(NOT(ISNUMBER(I94)),"Check rule",IF(AND(E94&lt;&gt;"Yes",E94&lt;&gt;"No"),"Set hold flag",IF(E94="Yes","Hold",IF(AND(K94&lt;&gt;"",ISNUMBER(L94),M94&lt;&gt;""),"Review recorded",IF(OR(K94&lt;&gt;"",L94&lt;&gt;"",M94&lt;&gt;""),"Complete review details",IF(I94&lt;=TODAY(),"Review due","Retain")))))))))</x:f>
      </x:c>
      <x:c r="K94" s="7"/>
      <x:c r="L94" s="9"/>
      <x:c r="M94" s="7"/>
    </x:row>
    <x:row r="95" ht="25" customHeight="1">
      <x:c r="A95" s="7"/>
      <x:c r="B95" s="7"/>
      <x:c r="C95" s="7"/>
      <x:c r="D95" s="9"/>
      <x:c r="E95" s="7"/>
      <x:c r="F95" s="7"/>
      <x:c r="G95" s="8" t="str">
        <x:f>IF(OR(A95="",COUNTIFS(Retention!$A$6:$A$15,B95)&lt;&gt;1),"",INDEX(Retention!$C$6:$C$15,MATCH(B95,Retention!$A$6:$A$15,0)))</x:f>
      </x:c>
      <x:c r="H95" s="8" t="str">
        <x:f>IF(OR(A95="",COUNTIFS(Retention!$A$6:$A$15,B95)&lt;&gt;1),"",INDEX(Retention!$D$6:$D$15,MATCH(B95,Retention!$A$6:$A$15,0)))</x:f>
      </x:c>
      <x:c r="I95" s="10" t="str">
        <x:f>IF(OR(A95="",NOT(ISNUMBER(D95)),NOT(ISNUMBER(G95))),"",IF(G95&lt;1,"",IF(H95="months",EDATE(D95,G95),IF(H95="days",D95+G95,""))))</x:f>
      </x:c>
      <x:c r="J95" s="8" t="str">
        <x:f>IF(A95="","",IF(COUNTIFS(Retention!$A$6:$A$15,B95)&lt;&gt;1,"Check category",IF(NOT(ISNUMBER(D95)),"Set start date",IF(NOT(ISNUMBER(I95)),"Check rule",IF(AND(E95&lt;&gt;"Yes",E95&lt;&gt;"No"),"Set hold flag",IF(E95="Yes","Hold",IF(AND(K95&lt;&gt;"",ISNUMBER(L95),M95&lt;&gt;""),"Review recorded",IF(OR(K95&lt;&gt;"",L95&lt;&gt;"",M95&lt;&gt;""),"Complete review details",IF(I95&lt;=TODAY(),"Review due","Retain")))))))))</x:f>
      </x:c>
      <x:c r="K95" s="7"/>
      <x:c r="L95" s="9"/>
      <x:c r="M95" s="7"/>
    </x:row>
    <x:row r="96" ht="25" customHeight="1">
      <x:c r="A96" s="7"/>
      <x:c r="B96" s="7"/>
      <x:c r="C96" s="7"/>
      <x:c r="D96" s="9"/>
      <x:c r="E96" s="7"/>
      <x:c r="F96" s="7"/>
      <x:c r="G96" s="8" t="str">
        <x:f>IF(OR(A96="",COUNTIFS(Retention!$A$6:$A$15,B96)&lt;&gt;1),"",INDEX(Retention!$C$6:$C$15,MATCH(B96,Retention!$A$6:$A$15,0)))</x:f>
      </x:c>
      <x:c r="H96" s="8" t="str">
        <x:f>IF(OR(A96="",COUNTIFS(Retention!$A$6:$A$15,B96)&lt;&gt;1),"",INDEX(Retention!$D$6:$D$15,MATCH(B96,Retention!$A$6:$A$15,0)))</x:f>
      </x:c>
      <x:c r="I96" s="10" t="str">
        <x:f>IF(OR(A96="",NOT(ISNUMBER(D96)),NOT(ISNUMBER(G96))),"",IF(G96&lt;1,"",IF(H96="months",EDATE(D96,G96),IF(H96="days",D96+G96,""))))</x:f>
      </x:c>
      <x:c r="J96" s="8" t="str">
        <x:f>IF(A96="","",IF(COUNTIFS(Retention!$A$6:$A$15,B96)&lt;&gt;1,"Check category",IF(NOT(ISNUMBER(D96)),"Set start date",IF(NOT(ISNUMBER(I96)),"Check rule",IF(AND(E96&lt;&gt;"Yes",E96&lt;&gt;"No"),"Set hold flag",IF(E96="Yes","Hold",IF(AND(K96&lt;&gt;"",ISNUMBER(L96),M96&lt;&gt;""),"Review recorded",IF(OR(K96&lt;&gt;"",L96&lt;&gt;"",M96&lt;&gt;""),"Complete review details",IF(I96&lt;=TODAY(),"Review due","Retain")))))))))</x:f>
      </x:c>
      <x:c r="K96" s="7"/>
      <x:c r="L96" s="9"/>
      <x:c r="M96" s="7"/>
    </x:row>
    <x:row r="97" ht="25" customHeight="1">
      <x:c r="A97" s="7"/>
      <x:c r="B97" s="7"/>
      <x:c r="C97" s="7"/>
      <x:c r="D97" s="9"/>
      <x:c r="E97" s="7"/>
      <x:c r="F97" s="7"/>
      <x:c r="G97" s="8" t="str">
        <x:f>IF(OR(A97="",COUNTIFS(Retention!$A$6:$A$15,B97)&lt;&gt;1),"",INDEX(Retention!$C$6:$C$15,MATCH(B97,Retention!$A$6:$A$15,0)))</x:f>
      </x:c>
      <x:c r="H97" s="8" t="str">
        <x:f>IF(OR(A97="",COUNTIFS(Retention!$A$6:$A$15,B97)&lt;&gt;1),"",INDEX(Retention!$D$6:$D$15,MATCH(B97,Retention!$A$6:$A$15,0)))</x:f>
      </x:c>
      <x:c r="I97" s="10" t="str">
        <x:f>IF(OR(A97="",NOT(ISNUMBER(D97)),NOT(ISNUMBER(G97))),"",IF(G97&lt;1,"",IF(H97="months",EDATE(D97,G97),IF(H97="days",D97+G97,""))))</x:f>
      </x:c>
      <x:c r="J97" s="8" t="str">
        <x:f>IF(A97="","",IF(COUNTIFS(Retention!$A$6:$A$15,B97)&lt;&gt;1,"Check category",IF(NOT(ISNUMBER(D97)),"Set start date",IF(NOT(ISNUMBER(I97)),"Check rule",IF(AND(E97&lt;&gt;"Yes",E97&lt;&gt;"No"),"Set hold flag",IF(E97="Yes","Hold",IF(AND(K97&lt;&gt;"",ISNUMBER(L97),M97&lt;&gt;""),"Review recorded",IF(OR(K97&lt;&gt;"",L97&lt;&gt;"",M97&lt;&gt;""),"Complete review details",IF(I97&lt;=TODAY(),"Review due","Retain")))))))))</x:f>
      </x:c>
      <x:c r="K97" s="7"/>
      <x:c r="L97" s="9"/>
      <x:c r="M97" s="7"/>
    </x:row>
    <x:row r="98" ht="25" customHeight="1">
      <x:c r="A98" s="7"/>
      <x:c r="B98" s="7"/>
      <x:c r="C98" s="7"/>
      <x:c r="D98" s="9"/>
      <x:c r="E98" s="7"/>
      <x:c r="F98" s="7"/>
      <x:c r="G98" s="8" t="str">
        <x:f>IF(OR(A98="",COUNTIFS(Retention!$A$6:$A$15,B98)&lt;&gt;1),"",INDEX(Retention!$C$6:$C$15,MATCH(B98,Retention!$A$6:$A$15,0)))</x:f>
      </x:c>
      <x:c r="H98" s="8" t="str">
        <x:f>IF(OR(A98="",COUNTIFS(Retention!$A$6:$A$15,B98)&lt;&gt;1),"",INDEX(Retention!$D$6:$D$15,MATCH(B98,Retention!$A$6:$A$15,0)))</x:f>
      </x:c>
      <x:c r="I98" s="10" t="str">
        <x:f>IF(OR(A98="",NOT(ISNUMBER(D98)),NOT(ISNUMBER(G98))),"",IF(G98&lt;1,"",IF(H98="months",EDATE(D98,G98),IF(H98="days",D98+G98,""))))</x:f>
      </x:c>
      <x:c r="J98" s="8" t="str">
        <x:f>IF(A98="","",IF(COUNTIFS(Retention!$A$6:$A$15,B98)&lt;&gt;1,"Check category",IF(NOT(ISNUMBER(D98)),"Set start date",IF(NOT(ISNUMBER(I98)),"Check rule",IF(AND(E98&lt;&gt;"Yes",E98&lt;&gt;"No"),"Set hold flag",IF(E98="Yes","Hold",IF(AND(K98&lt;&gt;"",ISNUMBER(L98),M98&lt;&gt;""),"Review recorded",IF(OR(K98&lt;&gt;"",L98&lt;&gt;"",M98&lt;&gt;""),"Complete review details",IF(I98&lt;=TODAY(),"Review due","Retain")))))))))</x:f>
      </x:c>
      <x:c r="K98" s="7"/>
      <x:c r="L98" s="9"/>
      <x:c r="M98" s="7"/>
    </x:row>
    <x:row r="99" ht="25" customHeight="1">
      <x:c r="A99" s="7"/>
      <x:c r="B99" s="7"/>
      <x:c r="C99" s="7"/>
      <x:c r="D99" s="9"/>
      <x:c r="E99" s="7"/>
      <x:c r="F99" s="7"/>
      <x:c r="G99" s="8" t="str">
        <x:f>IF(OR(A99="",COUNTIFS(Retention!$A$6:$A$15,B99)&lt;&gt;1),"",INDEX(Retention!$C$6:$C$15,MATCH(B99,Retention!$A$6:$A$15,0)))</x:f>
      </x:c>
      <x:c r="H99" s="8" t="str">
        <x:f>IF(OR(A99="",COUNTIFS(Retention!$A$6:$A$15,B99)&lt;&gt;1),"",INDEX(Retention!$D$6:$D$15,MATCH(B99,Retention!$A$6:$A$15,0)))</x:f>
      </x:c>
      <x:c r="I99" s="10" t="str">
        <x:f>IF(OR(A99="",NOT(ISNUMBER(D99)),NOT(ISNUMBER(G99))),"",IF(G99&lt;1,"",IF(H99="months",EDATE(D99,G99),IF(H99="days",D99+G99,""))))</x:f>
      </x:c>
      <x:c r="J99" s="8" t="str">
        <x:f>IF(A99="","",IF(COUNTIFS(Retention!$A$6:$A$15,B99)&lt;&gt;1,"Check category",IF(NOT(ISNUMBER(D99)),"Set start date",IF(NOT(ISNUMBER(I99)),"Check rule",IF(AND(E99&lt;&gt;"Yes",E99&lt;&gt;"No"),"Set hold flag",IF(E99="Yes","Hold",IF(AND(K99&lt;&gt;"",ISNUMBER(L99),M99&lt;&gt;""),"Review recorded",IF(OR(K99&lt;&gt;"",L99&lt;&gt;"",M99&lt;&gt;""),"Complete review details",IF(I99&lt;=TODAY(),"Review due","Retain")))))))))</x:f>
      </x:c>
      <x:c r="K99" s="7"/>
      <x:c r="L99" s="9"/>
      <x:c r="M99" s="7"/>
    </x:row>
    <x:row r="100" ht="25" customHeight="1">
      <x:c r="A100" s="7"/>
      <x:c r="B100" s="7"/>
      <x:c r="C100" s="7"/>
      <x:c r="D100" s="9"/>
      <x:c r="E100" s="7"/>
      <x:c r="F100" s="7"/>
      <x:c r="G100" s="8" t="str">
        <x:f>IF(OR(A100="",COUNTIFS(Retention!$A$6:$A$15,B100)&lt;&gt;1),"",INDEX(Retention!$C$6:$C$15,MATCH(B100,Retention!$A$6:$A$15,0)))</x:f>
      </x:c>
      <x:c r="H100" s="8" t="str">
        <x:f>IF(OR(A100="",COUNTIFS(Retention!$A$6:$A$15,B100)&lt;&gt;1),"",INDEX(Retention!$D$6:$D$15,MATCH(B100,Retention!$A$6:$A$15,0)))</x:f>
      </x:c>
      <x:c r="I100" s="10" t="str">
        <x:f>IF(OR(A100="",NOT(ISNUMBER(D100)),NOT(ISNUMBER(G100))),"",IF(G100&lt;1,"",IF(H100="months",EDATE(D100,G100),IF(H100="days",D100+G100,""))))</x:f>
      </x:c>
      <x:c r="J100" s="8" t="str">
        <x:f>IF(A100="","",IF(COUNTIFS(Retention!$A$6:$A$15,B100)&lt;&gt;1,"Check category",IF(NOT(ISNUMBER(D100)),"Set start date",IF(NOT(ISNUMBER(I100)),"Check rule",IF(AND(E100&lt;&gt;"Yes",E100&lt;&gt;"No"),"Set hold flag",IF(E100="Yes","Hold",IF(AND(K100&lt;&gt;"",ISNUMBER(L100),M100&lt;&gt;""),"Review recorded",IF(OR(K100&lt;&gt;"",L100&lt;&gt;"",M100&lt;&gt;""),"Complete review details",IF(I100&lt;=TODAY(),"Review due","Retain")))))))))</x:f>
      </x:c>
      <x:c r="K100" s="7"/>
      <x:c r="L100" s="9"/>
      <x:c r="M100" s="7"/>
    </x:row>
    <x:row r="101" ht="25" customHeight="1">
      <x:c r="A101" s="7"/>
      <x:c r="B101" s="7"/>
      <x:c r="C101" s="7"/>
      <x:c r="D101" s="9"/>
      <x:c r="E101" s="7"/>
      <x:c r="F101" s="7"/>
      <x:c r="G101" s="8" t="str">
        <x:f>IF(OR(A101="",COUNTIFS(Retention!$A$6:$A$15,B101)&lt;&gt;1),"",INDEX(Retention!$C$6:$C$15,MATCH(B101,Retention!$A$6:$A$15,0)))</x:f>
      </x:c>
      <x:c r="H101" s="8" t="str">
        <x:f>IF(OR(A101="",COUNTIFS(Retention!$A$6:$A$15,B101)&lt;&gt;1),"",INDEX(Retention!$D$6:$D$15,MATCH(B101,Retention!$A$6:$A$15,0)))</x:f>
      </x:c>
      <x:c r="I101" s="10" t="str">
        <x:f>IF(OR(A101="",NOT(ISNUMBER(D101)),NOT(ISNUMBER(G101))),"",IF(G101&lt;1,"",IF(H101="months",EDATE(D101,G101),IF(H101="days",D101+G101,""))))</x:f>
      </x:c>
      <x:c r="J101" s="8" t="str">
        <x:f>IF(A101="","",IF(COUNTIFS(Retention!$A$6:$A$15,B101)&lt;&gt;1,"Check category",IF(NOT(ISNUMBER(D101)),"Set start date",IF(NOT(ISNUMBER(I101)),"Check rule",IF(AND(E101&lt;&gt;"Yes",E101&lt;&gt;"No"),"Set hold flag",IF(E101="Yes","Hold",IF(AND(K101&lt;&gt;"",ISNUMBER(L101),M101&lt;&gt;""),"Review recorded",IF(OR(K101&lt;&gt;"",L101&lt;&gt;"",M101&lt;&gt;""),"Complete review details",IF(I101&lt;=TODAY(),"Review due","Retain")))))))))</x:f>
      </x:c>
      <x:c r="K101" s="7"/>
      <x:c r="L101" s="9"/>
      <x:c r="M101" s="7"/>
    </x:row>
    <x:row r="102" ht="25" customHeight="1">
      <x:c r="A102" s="7"/>
      <x:c r="B102" s="7"/>
      <x:c r="C102" s="7"/>
      <x:c r="D102" s="9"/>
      <x:c r="E102" s="7"/>
      <x:c r="F102" s="7"/>
      <x:c r="G102" s="8" t="str">
        <x:f>IF(OR(A102="",COUNTIFS(Retention!$A$6:$A$15,B102)&lt;&gt;1),"",INDEX(Retention!$C$6:$C$15,MATCH(B102,Retention!$A$6:$A$15,0)))</x:f>
      </x:c>
      <x:c r="H102" s="8" t="str">
        <x:f>IF(OR(A102="",COUNTIFS(Retention!$A$6:$A$15,B102)&lt;&gt;1),"",INDEX(Retention!$D$6:$D$15,MATCH(B102,Retention!$A$6:$A$15,0)))</x:f>
      </x:c>
      <x:c r="I102" s="10" t="str">
        <x:f>IF(OR(A102="",NOT(ISNUMBER(D102)),NOT(ISNUMBER(G102))),"",IF(G102&lt;1,"",IF(H102="months",EDATE(D102,G102),IF(H102="days",D102+G102,""))))</x:f>
      </x:c>
      <x:c r="J102" s="8" t="str">
        <x:f>IF(A102="","",IF(COUNTIFS(Retention!$A$6:$A$15,B102)&lt;&gt;1,"Check category",IF(NOT(ISNUMBER(D102)),"Set start date",IF(NOT(ISNUMBER(I102)),"Check rule",IF(AND(E102&lt;&gt;"Yes",E102&lt;&gt;"No"),"Set hold flag",IF(E102="Yes","Hold",IF(AND(K102&lt;&gt;"",ISNUMBER(L102),M102&lt;&gt;""),"Review recorded",IF(OR(K102&lt;&gt;"",L102&lt;&gt;"",M102&lt;&gt;""),"Complete review details",IF(I102&lt;=TODAY(),"Review due","Retain")))))))))</x:f>
      </x:c>
      <x:c r="K102" s="7"/>
      <x:c r="L102" s="9"/>
      <x:c r="M102" s="7"/>
    </x:row>
    <x:row r="103" ht="25" customHeight="1">
      <x:c r="A103" s="7"/>
      <x:c r="B103" s="7"/>
      <x:c r="C103" s="7"/>
      <x:c r="D103" s="9"/>
      <x:c r="E103" s="7"/>
      <x:c r="F103" s="7"/>
      <x:c r="G103" s="8" t="str">
        <x:f>IF(OR(A103="",COUNTIFS(Retention!$A$6:$A$15,B103)&lt;&gt;1),"",INDEX(Retention!$C$6:$C$15,MATCH(B103,Retention!$A$6:$A$15,0)))</x:f>
      </x:c>
      <x:c r="H103" s="8" t="str">
        <x:f>IF(OR(A103="",COUNTIFS(Retention!$A$6:$A$15,B103)&lt;&gt;1),"",INDEX(Retention!$D$6:$D$15,MATCH(B103,Retention!$A$6:$A$15,0)))</x:f>
      </x:c>
      <x:c r="I103" s="10" t="str">
        <x:f>IF(OR(A103="",NOT(ISNUMBER(D103)),NOT(ISNUMBER(G103))),"",IF(G103&lt;1,"",IF(H103="months",EDATE(D103,G103),IF(H103="days",D103+G103,""))))</x:f>
      </x:c>
      <x:c r="J103" s="8" t="str">
        <x:f>IF(A103="","",IF(COUNTIFS(Retention!$A$6:$A$15,B103)&lt;&gt;1,"Check category",IF(NOT(ISNUMBER(D103)),"Set start date",IF(NOT(ISNUMBER(I103)),"Check rule",IF(AND(E103&lt;&gt;"Yes",E103&lt;&gt;"No"),"Set hold flag",IF(E103="Yes","Hold",IF(AND(K103&lt;&gt;"",ISNUMBER(L103),M103&lt;&gt;""),"Review recorded",IF(OR(K103&lt;&gt;"",L103&lt;&gt;"",M103&lt;&gt;""),"Complete review details",IF(I103&lt;=TODAY(),"Review due","Retain")))))))))</x:f>
      </x:c>
      <x:c r="K103" s="7"/>
      <x:c r="L103" s="9"/>
      <x:c r="M103" s="7"/>
    </x:row>
    <x:row r="104" ht="25" customHeight="1">
      <x:c r="A104" s="7"/>
      <x:c r="B104" s="7"/>
      <x:c r="C104" s="7"/>
      <x:c r="D104" s="9"/>
      <x:c r="E104" s="7"/>
      <x:c r="F104" s="7"/>
      <x:c r="G104" s="8" t="str">
        <x:f>IF(OR(A104="",COUNTIFS(Retention!$A$6:$A$15,B104)&lt;&gt;1),"",INDEX(Retention!$C$6:$C$15,MATCH(B104,Retention!$A$6:$A$15,0)))</x:f>
      </x:c>
      <x:c r="H104" s="8" t="str">
        <x:f>IF(OR(A104="",COUNTIFS(Retention!$A$6:$A$15,B104)&lt;&gt;1),"",INDEX(Retention!$D$6:$D$15,MATCH(B104,Retention!$A$6:$A$15,0)))</x:f>
      </x:c>
      <x:c r="I104" s="10" t="str">
        <x:f>IF(OR(A104="",NOT(ISNUMBER(D104)),NOT(ISNUMBER(G104))),"",IF(G104&lt;1,"",IF(H104="months",EDATE(D104,G104),IF(H104="days",D104+G104,""))))</x:f>
      </x:c>
      <x:c r="J104" s="8" t="str">
        <x:f>IF(A104="","",IF(COUNTIFS(Retention!$A$6:$A$15,B104)&lt;&gt;1,"Check category",IF(NOT(ISNUMBER(D104)),"Set start date",IF(NOT(ISNUMBER(I104)),"Check rule",IF(AND(E104&lt;&gt;"Yes",E104&lt;&gt;"No"),"Set hold flag",IF(E104="Yes","Hold",IF(AND(K104&lt;&gt;"",ISNUMBER(L104),M104&lt;&gt;""),"Review recorded",IF(OR(K104&lt;&gt;"",L104&lt;&gt;"",M104&lt;&gt;""),"Complete review details",IF(I104&lt;=TODAY(),"Review due","Retain")))))))))</x:f>
      </x:c>
      <x:c r="K104" s="7"/>
      <x:c r="L104" s="9"/>
      <x:c r="M104" s="7"/>
    </x:row>
    <x:row r="105" ht="25" customHeight="1">
      <x:c r="A105" s="7"/>
      <x:c r="B105" s="7"/>
      <x:c r="C105" s="7"/>
      <x:c r="D105" s="9"/>
      <x:c r="E105" s="7"/>
      <x:c r="F105" s="7"/>
      <x:c r="G105" s="8" t="str">
        <x:f>IF(OR(A105="",COUNTIFS(Retention!$A$6:$A$15,B105)&lt;&gt;1),"",INDEX(Retention!$C$6:$C$15,MATCH(B105,Retention!$A$6:$A$15,0)))</x:f>
      </x:c>
      <x:c r="H105" s="8" t="str">
        <x:f>IF(OR(A105="",COUNTIFS(Retention!$A$6:$A$15,B105)&lt;&gt;1),"",INDEX(Retention!$D$6:$D$15,MATCH(B105,Retention!$A$6:$A$15,0)))</x:f>
      </x:c>
      <x:c r="I105" s="10" t="str">
        <x:f>IF(OR(A105="",NOT(ISNUMBER(D105)),NOT(ISNUMBER(G105))),"",IF(G105&lt;1,"",IF(H105="months",EDATE(D105,G105),IF(H105="days",D105+G105,""))))</x:f>
      </x:c>
      <x:c r="J105" s="8" t="str">
        <x:f>IF(A105="","",IF(COUNTIFS(Retention!$A$6:$A$15,B105)&lt;&gt;1,"Check category",IF(NOT(ISNUMBER(D105)),"Set start date",IF(NOT(ISNUMBER(I105)),"Check rule",IF(AND(E105&lt;&gt;"Yes",E105&lt;&gt;"No"),"Set hold flag",IF(E105="Yes","Hold",IF(AND(K105&lt;&gt;"",ISNUMBER(L105),M105&lt;&gt;""),"Review recorded",IF(OR(K105&lt;&gt;"",L105&lt;&gt;"",M105&lt;&gt;""),"Complete review details",IF(I105&lt;=TODAY(),"Review due","Retain")))))))))</x:f>
      </x:c>
      <x:c r="K105" s="7"/>
      <x:c r="L105" s="9"/>
      <x:c r="M105" s="7"/>
    </x:row>
    <x:row r="106" ht="25" customHeight="1">
      <x:c r="A106" s="7"/>
      <x:c r="B106" s="7"/>
      <x:c r="C106" s="7"/>
      <x:c r="D106" s="9"/>
      <x:c r="E106" s="7"/>
      <x:c r="F106" s="7"/>
      <x:c r="G106" s="8" t="str">
        <x:f>IF(OR(A106="",COUNTIFS(Retention!$A$6:$A$15,B106)&lt;&gt;1),"",INDEX(Retention!$C$6:$C$15,MATCH(B106,Retention!$A$6:$A$15,0)))</x:f>
      </x:c>
      <x:c r="H106" s="8" t="str">
        <x:f>IF(OR(A106="",COUNTIFS(Retention!$A$6:$A$15,B106)&lt;&gt;1),"",INDEX(Retention!$D$6:$D$15,MATCH(B106,Retention!$A$6:$A$15,0)))</x:f>
      </x:c>
      <x:c r="I106" s="10" t="str">
        <x:f>IF(OR(A106="",NOT(ISNUMBER(D106)),NOT(ISNUMBER(G106))),"",IF(G106&lt;1,"",IF(H106="months",EDATE(D106,G106),IF(H106="days",D106+G106,""))))</x:f>
      </x:c>
      <x:c r="J106" s="8" t="str">
        <x:f>IF(A106="","",IF(COUNTIFS(Retention!$A$6:$A$15,B106)&lt;&gt;1,"Check category",IF(NOT(ISNUMBER(D106)),"Set start date",IF(NOT(ISNUMBER(I106)),"Check rule",IF(AND(E106&lt;&gt;"Yes",E106&lt;&gt;"No"),"Set hold flag",IF(E106="Yes","Hold",IF(AND(K106&lt;&gt;"",ISNUMBER(L106),M106&lt;&gt;""),"Review recorded",IF(OR(K106&lt;&gt;"",L106&lt;&gt;"",M106&lt;&gt;""),"Complete review details",IF(I106&lt;=TODAY(),"Review due","Retain")))))))))</x:f>
      </x:c>
      <x:c r="K106" s="7"/>
      <x:c r="L106" s="9"/>
      <x:c r="M106" s="7"/>
    </x:row>
    <x:row r="107" ht="25" customHeight="1">
      <x:c r="A107" s="7"/>
      <x:c r="B107" s="7"/>
      <x:c r="C107" s="7"/>
      <x:c r="D107" s="9"/>
      <x:c r="E107" s="7"/>
      <x:c r="F107" s="7"/>
      <x:c r="G107" s="8" t="str">
        <x:f>IF(OR(A107="",COUNTIFS(Retention!$A$6:$A$15,B107)&lt;&gt;1),"",INDEX(Retention!$C$6:$C$15,MATCH(B107,Retention!$A$6:$A$15,0)))</x:f>
      </x:c>
      <x:c r="H107" s="8" t="str">
        <x:f>IF(OR(A107="",COUNTIFS(Retention!$A$6:$A$15,B107)&lt;&gt;1),"",INDEX(Retention!$D$6:$D$15,MATCH(B107,Retention!$A$6:$A$15,0)))</x:f>
      </x:c>
      <x:c r="I107" s="10" t="str">
        <x:f>IF(OR(A107="",NOT(ISNUMBER(D107)),NOT(ISNUMBER(G107))),"",IF(G107&lt;1,"",IF(H107="months",EDATE(D107,G107),IF(H107="days",D107+G107,""))))</x:f>
      </x:c>
      <x:c r="J107" s="8" t="str">
        <x:f>IF(A107="","",IF(COUNTIFS(Retention!$A$6:$A$15,B107)&lt;&gt;1,"Check category",IF(NOT(ISNUMBER(D107)),"Set start date",IF(NOT(ISNUMBER(I107)),"Check rule",IF(AND(E107&lt;&gt;"Yes",E107&lt;&gt;"No"),"Set hold flag",IF(E107="Yes","Hold",IF(AND(K107&lt;&gt;"",ISNUMBER(L107),M107&lt;&gt;""),"Review recorded",IF(OR(K107&lt;&gt;"",L107&lt;&gt;"",M107&lt;&gt;""),"Complete review details",IF(I107&lt;=TODAY(),"Review due","Retain")))))))))</x:f>
      </x:c>
      <x:c r="K107" s="7"/>
      <x:c r="L107" s="9"/>
      <x:c r="M107" s="7"/>
    </x:row>
    <x:row r="108" ht="25" customHeight="1">
      <x:c r="A108" s="7"/>
      <x:c r="B108" s="7"/>
      <x:c r="C108" s="7"/>
      <x:c r="D108" s="9"/>
      <x:c r="E108" s="7"/>
      <x:c r="F108" s="7"/>
      <x:c r="G108" s="8" t="str">
        <x:f>IF(OR(A108="",COUNTIFS(Retention!$A$6:$A$15,B108)&lt;&gt;1),"",INDEX(Retention!$C$6:$C$15,MATCH(B108,Retention!$A$6:$A$15,0)))</x:f>
      </x:c>
      <x:c r="H108" s="8" t="str">
        <x:f>IF(OR(A108="",COUNTIFS(Retention!$A$6:$A$15,B108)&lt;&gt;1),"",INDEX(Retention!$D$6:$D$15,MATCH(B108,Retention!$A$6:$A$15,0)))</x:f>
      </x:c>
      <x:c r="I108" s="10" t="str">
        <x:f>IF(OR(A108="",NOT(ISNUMBER(D108)),NOT(ISNUMBER(G108))),"",IF(G108&lt;1,"",IF(H108="months",EDATE(D108,G108),IF(H108="days",D108+G108,""))))</x:f>
      </x:c>
      <x:c r="J108" s="8" t="str">
        <x:f>IF(A108="","",IF(COUNTIFS(Retention!$A$6:$A$15,B108)&lt;&gt;1,"Check category",IF(NOT(ISNUMBER(D108)),"Set start date",IF(NOT(ISNUMBER(I108)),"Check rule",IF(AND(E108&lt;&gt;"Yes",E108&lt;&gt;"No"),"Set hold flag",IF(E108="Yes","Hold",IF(AND(K108&lt;&gt;"",ISNUMBER(L108),M108&lt;&gt;""),"Review recorded",IF(OR(K108&lt;&gt;"",L108&lt;&gt;"",M108&lt;&gt;""),"Complete review details",IF(I108&lt;=TODAY(),"Review due","Retain")))))))))</x:f>
      </x:c>
      <x:c r="K108" s="7"/>
      <x:c r="L108" s="9"/>
      <x:c r="M108" s="7"/>
    </x:row>
    <x:row r="109" ht="25" customHeight="1">
      <x:c r="A109" s="7"/>
      <x:c r="B109" s="7"/>
      <x:c r="C109" s="7"/>
      <x:c r="D109" s="9"/>
      <x:c r="E109" s="7"/>
      <x:c r="F109" s="7"/>
      <x:c r="G109" s="8" t="str">
        <x:f>IF(OR(A109="",COUNTIFS(Retention!$A$6:$A$15,B109)&lt;&gt;1),"",INDEX(Retention!$C$6:$C$15,MATCH(B109,Retention!$A$6:$A$15,0)))</x:f>
      </x:c>
      <x:c r="H109" s="8" t="str">
        <x:f>IF(OR(A109="",COUNTIFS(Retention!$A$6:$A$15,B109)&lt;&gt;1),"",INDEX(Retention!$D$6:$D$15,MATCH(B109,Retention!$A$6:$A$15,0)))</x:f>
      </x:c>
      <x:c r="I109" s="10" t="str">
        <x:f>IF(OR(A109="",NOT(ISNUMBER(D109)),NOT(ISNUMBER(G109))),"",IF(G109&lt;1,"",IF(H109="months",EDATE(D109,G109),IF(H109="days",D109+G109,""))))</x:f>
      </x:c>
      <x:c r="J109" s="8" t="str">
        <x:f>IF(A109="","",IF(COUNTIFS(Retention!$A$6:$A$15,B109)&lt;&gt;1,"Check category",IF(NOT(ISNUMBER(D109)),"Set start date",IF(NOT(ISNUMBER(I109)),"Check rule",IF(AND(E109&lt;&gt;"Yes",E109&lt;&gt;"No"),"Set hold flag",IF(E109="Yes","Hold",IF(AND(K109&lt;&gt;"",ISNUMBER(L109),M109&lt;&gt;""),"Review recorded",IF(OR(K109&lt;&gt;"",L109&lt;&gt;"",M109&lt;&gt;""),"Complete review details",IF(I109&lt;=TODAY(),"Review due","Retain")))))))))</x:f>
      </x:c>
      <x:c r="K109" s="7"/>
      <x:c r="L109" s="9"/>
      <x:c r="M109" s="7"/>
    </x:row>
    <x:row r="110" ht="25" customHeight="1">
      <x:c r="A110" s="7"/>
      <x:c r="B110" s="7"/>
      <x:c r="C110" s="7"/>
      <x:c r="D110" s="9"/>
      <x:c r="E110" s="7"/>
      <x:c r="F110" s="7"/>
      <x:c r="G110" s="8" t="str">
        <x:f>IF(OR(A110="",COUNTIFS(Retention!$A$6:$A$15,B110)&lt;&gt;1),"",INDEX(Retention!$C$6:$C$15,MATCH(B110,Retention!$A$6:$A$15,0)))</x:f>
      </x:c>
      <x:c r="H110" s="8" t="str">
        <x:f>IF(OR(A110="",COUNTIFS(Retention!$A$6:$A$15,B110)&lt;&gt;1),"",INDEX(Retention!$D$6:$D$15,MATCH(B110,Retention!$A$6:$A$15,0)))</x:f>
      </x:c>
      <x:c r="I110" s="10" t="str">
        <x:f>IF(OR(A110="",NOT(ISNUMBER(D110)),NOT(ISNUMBER(G110))),"",IF(G110&lt;1,"",IF(H110="months",EDATE(D110,G110),IF(H110="days",D110+G110,""))))</x:f>
      </x:c>
      <x:c r="J110" s="8" t="str">
        <x:f>IF(A110="","",IF(COUNTIFS(Retention!$A$6:$A$15,B110)&lt;&gt;1,"Check category",IF(NOT(ISNUMBER(D110)),"Set start date",IF(NOT(ISNUMBER(I110)),"Check rule",IF(AND(E110&lt;&gt;"Yes",E110&lt;&gt;"No"),"Set hold flag",IF(E110="Yes","Hold",IF(AND(K110&lt;&gt;"",ISNUMBER(L110),M110&lt;&gt;""),"Review recorded",IF(OR(K110&lt;&gt;"",L110&lt;&gt;"",M110&lt;&gt;""),"Complete review details",IF(I110&lt;=TODAY(),"Review due","Retain")))))))))</x:f>
      </x:c>
      <x:c r="K110" s="7"/>
      <x:c r="L110" s="9"/>
      <x:c r="M110" s="7"/>
    </x:row>
    <x:row r="111" ht="25" customHeight="1">
      <x:c r="A111" s="7"/>
      <x:c r="B111" s="7"/>
      <x:c r="C111" s="7"/>
      <x:c r="D111" s="9"/>
      <x:c r="E111" s="7"/>
      <x:c r="F111" s="7"/>
      <x:c r="G111" s="8" t="str">
        <x:f>IF(OR(A111="",COUNTIFS(Retention!$A$6:$A$15,B111)&lt;&gt;1),"",INDEX(Retention!$C$6:$C$15,MATCH(B111,Retention!$A$6:$A$15,0)))</x:f>
      </x:c>
      <x:c r="H111" s="8" t="str">
        <x:f>IF(OR(A111="",COUNTIFS(Retention!$A$6:$A$15,B111)&lt;&gt;1),"",INDEX(Retention!$D$6:$D$15,MATCH(B111,Retention!$A$6:$A$15,0)))</x:f>
      </x:c>
      <x:c r="I111" s="10" t="str">
        <x:f>IF(OR(A111="",NOT(ISNUMBER(D111)),NOT(ISNUMBER(G111))),"",IF(G111&lt;1,"",IF(H111="months",EDATE(D111,G111),IF(H111="days",D111+G111,""))))</x:f>
      </x:c>
      <x:c r="J111" s="8" t="str">
        <x:f>IF(A111="","",IF(COUNTIFS(Retention!$A$6:$A$15,B111)&lt;&gt;1,"Check category",IF(NOT(ISNUMBER(D111)),"Set start date",IF(NOT(ISNUMBER(I111)),"Check rule",IF(AND(E111&lt;&gt;"Yes",E111&lt;&gt;"No"),"Set hold flag",IF(E111="Yes","Hold",IF(AND(K111&lt;&gt;"",ISNUMBER(L111),M111&lt;&gt;""),"Review recorded",IF(OR(K111&lt;&gt;"",L111&lt;&gt;"",M111&lt;&gt;""),"Complete review details",IF(I111&lt;=TODAY(),"Review due","Retain")))))))))</x:f>
      </x:c>
      <x:c r="K111" s="7"/>
      <x:c r="L111" s="9"/>
      <x:c r="M111" s="7"/>
    </x:row>
    <x:row r="112" ht="25" customHeight="1">
      <x:c r="A112" s="7"/>
      <x:c r="B112" s="7"/>
      <x:c r="C112" s="7"/>
      <x:c r="D112" s="9"/>
      <x:c r="E112" s="7"/>
      <x:c r="F112" s="7"/>
      <x:c r="G112" s="8" t="str">
        <x:f>IF(OR(A112="",COUNTIFS(Retention!$A$6:$A$15,B112)&lt;&gt;1),"",INDEX(Retention!$C$6:$C$15,MATCH(B112,Retention!$A$6:$A$15,0)))</x:f>
      </x:c>
      <x:c r="H112" s="8" t="str">
        <x:f>IF(OR(A112="",COUNTIFS(Retention!$A$6:$A$15,B112)&lt;&gt;1),"",INDEX(Retention!$D$6:$D$15,MATCH(B112,Retention!$A$6:$A$15,0)))</x:f>
      </x:c>
      <x:c r="I112" s="10" t="str">
        <x:f>IF(OR(A112="",NOT(ISNUMBER(D112)),NOT(ISNUMBER(G112))),"",IF(G112&lt;1,"",IF(H112="months",EDATE(D112,G112),IF(H112="days",D112+G112,""))))</x:f>
      </x:c>
      <x:c r="J112" s="8" t="str">
        <x:f>IF(A112="","",IF(COUNTIFS(Retention!$A$6:$A$15,B112)&lt;&gt;1,"Check category",IF(NOT(ISNUMBER(D112)),"Set start date",IF(NOT(ISNUMBER(I112)),"Check rule",IF(AND(E112&lt;&gt;"Yes",E112&lt;&gt;"No"),"Set hold flag",IF(E112="Yes","Hold",IF(AND(K112&lt;&gt;"",ISNUMBER(L112),M112&lt;&gt;""),"Review recorded",IF(OR(K112&lt;&gt;"",L112&lt;&gt;"",M112&lt;&gt;""),"Complete review details",IF(I112&lt;=TODAY(),"Review due","Retain")))))))))</x:f>
      </x:c>
      <x:c r="K112" s="7"/>
      <x:c r="L112" s="9"/>
      <x:c r="M112" s="7"/>
    </x:row>
    <x:row r="113" ht="25" customHeight="1">
      <x:c r="A113" s="7"/>
      <x:c r="B113" s="7"/>
      <x:c r="C113" s="7"/>
      <x:c r="D113" s="9"/>
      <x:c r="E113" s="7"/>
      <x:c r="F113" s="7"/>
      <x:c r="G113" s="8" t="str">
        <x:f>IF(OR(A113="",COUNTIFS(Retention!$A$6:$A$15,B113)&lt;&gt;1),"",INDEX(Retention!$C$6:$C$15,MATCH(B113,Retention!$A$6:$A$15,0)))</x:f>
      </x:c>
      <x:c r="H113" s="8" t="str">
        <x:f>IF(OR(A113="",COUNTIFS(Retention!$A$6:$A$15,B113)&lt;&gt;1),"",INDEX(Retention!$D$6:$D$15,MATCH(B113,Retention!$A$6:$A$15,0)))</x:f>
      </x:c>
      <x:c r="I113" s="10" t="str">
        <x:f>IF(OR(A113="",NOT(ISNUMBER(D113)),NOT(ISNUMBER(G113))),"",IF(G113&lt;1,"",IF(H113="months",EDATE(D113,G113),IF(H113="days",D113+G113,""))))</x:f>
      </x:c>
      <x:c r="J113" s="8" t="str">
        <x:f>IF(A113="","",IF(COUNTIFS(Retention!$A$6:$A$15,B113)&lt;&gt;1,"Check category",IF(NOT(ISNUMBER(D113)),"Set start date",IF(NOT(ISNUMBER(I113)),"Check rule",IF(AND(E113&lt;&gt;"Yes",E113&lt;&gt;"No"),"Set hold flag",IF(E113="Yes","Hold",IF(AND(K113&lt;&gt;"",ISNUMBER(L113),M113&lt;&gt;""),"Review recorded",IF(OR(K113&lt;&gt;"",L113&lt;&gt;"",M113&lt;&gt;""),"Complete review details",IF(I113&lt;=TODAY(),"Review due","Retain")))))))))</x:f>
      </x:c>
      <x:c r="K113" s="7"/>
      <x:c r="L113" s="9"/>
      <x:c r="M113" s="7"/>
    </x:row>
    <x:row r="114" ht="25" customHeight="1">
      <x:c r="A114" s="7"/>
      <x:c r="B114" s="7"/>
      <x:c r="C114" s="7"/>
      <x:c r="D114" s="9"/>
      <x:c r="E114" s="7"/>
      <x:c r="F114" s="7"/>
      <x:c r="G114" s="8" t="str">
        <x:f>IF(OR(A114="",COUNTIFS(Retention!$A$6:$A$15,B114)&lt;&gt;1),"",INDEX(Retention!$C$6:$C$15,MATCH(B114,Retention!$A$6:$A$15,0)))</x:f>
      </x:c>
      <x:c r="H114" s="8" t="str">
        <x:f>IF(OR(A114="",COUNTIFS(Retention!$A$6:$A$15,B114)&lt;&gt;1),"",INDEX(Retention!$D$6:$D$15,MATCH(B114,Retention!$A$6:$A$15,0)))</x:f>
      </x:c>
      <x:c r="I114" s="10" t="str">
        <x:f>IF(OR(A114="",NOT(ISNUMBER(D114)),NOT(ISNUMBER(G114))),"",IF(G114&lt;1,"",IF(H114="months",EDATE(D114,G114),IF(H114="days",D114+G114,""))))</x:f>
      </x:c>
      <x:c r="J114" s="8" t="str">
        <x:f>IF(A114="","",IF(COUNTIFS(Retention!$A$6:$A$15,B114)&lt;&gt;1,"Check category",IF(NOT(ISNUMBER(D114)),"Set start date",IF(NOT(ISNUMBER(I114)),"Check rule",IF(AND(E114&lt;&gt;"Yes",E114&lt;&gt;"No"),"Set hold flag",IF(E114="Yes","Hold",IF(AND(K114&lt;&gt;"",ISNUMBER(L114),M114&lt;&gt;""),"Review recorded",IF(OR(K114&lt;&gt;"",L114&lt;&gt;"",M114&lt;&gt;""),"Complete review details",IF(I114&lt;=TODAY(),"Review due","Retain")))))))))</x:f>
      </x:c>
      <x:c r="K114" s="7"/>
      <x:c r="L114" s="9"/>
      <x:c r="M114" s="7"/>
    </x:row>
    <x:row r="115" ht="25" customHeight="1">
      <x:c r="A115" s="7"/>
      <x:c r="B115" s="7"/>
      <x:c r="C115" s="7"/>
      <x:c r="D115" s="9"/>
      <x:c r="E115" s="7"/>
      <x:c r="F115" s="7"/>
      <x:c r="G115" s="8" t="str">
        <x:f>IF(OR(A115="",COUNTIFS(Retention!$A$6:$A$15,B115)&lt;&gt;1),"",INDEX(Retention!$C$6:$C$15,MATCH(B115,Retention!$A$6:$A$15,0)))</x:f>
      </x:c>
      <x:c r="H115" s="8" t="str">
        <x:f>IF(OR(A115="",COUNTIFS(Retention!$A$6:$A$15,B115)&lt;&gt;1),"",INDEX(Retention!$D$6:$D$15,MATCH(B115,Retention!$A$6:$A$15,0)))</x:f>
      </x:c>
      <x:c r="I115" s="10" t="str">
        <x:f>IF(OR(A115="",NOT(ISNUMBER(D115)),NOT(ISNUMBER(G115))),"",IF(G115&lt;1,"",IF(H115="months",EDATE(D115,G115),IF(H115="days",D115+G115,""))))</x:f>
      </x:c>
      <x:c r="J115" s="8" t="str">
        <x:f>IF(A115="","",IF(COUNTIFS(Retention!$A$6:$A$15,B115)&lt;&gt;1,"Check category",IF(NOT(ISNUMBER(D115)),"Set start date",IF(NOT(ISNUMBER(I115)),"Check rule",IF(AND(E115&lt;&gt;"Yes",E115&lt;&gt;"No"),"Set hold flag",IF(E115="Yes","Hold",IF(AND(K115&lt;&gt;"",ISNUMBER(L115),M115&lt;&gt;""),"Review recorded",IF(OR(K115&lt;&gt;"",L115&lt;&gt;"",M115&lt;&gt;""),"Complete review details",IF(I115&lt;=TODAY(),"Review due","Retain")))))))))</x:f>
      </x:c>
      <x:c r="K115" s="7"/>
      <x:c r="L115" s="9"/>
      <x:c r="M115" s="7"/>
    </x:row>
    <x:row r="116" ht="25" customHeight="1">
      <x:c r="A116" s="7"/>
      <x:c r="B116" s="7"/>
      <x:c r="C116" s="7"/>
      <x:c r="D116" s="9"/>
      <x:c r="E116" s="7"/>
      <x:c r="F116" s="7"/>
      <x:c r="G116" s="8" t="str">
        <x:f>IF(OR(A116="",COUNTIFS(Retention!$A$6:$A$15,B116)&lt;&gt;1),"",INDEX(Retention!$C$6:$C$15,MATCH(B116,Retention!$A$6:$A$15,0)))</x:f>
      </x:c>
      <x:c r="H116" s="8" t="str">
        <x:f>IF(OR(A116="",COUNTIFS(Retention!$A$6:$A$15,B116)&lt;&gt;1),"",INDEX(Retention!$D$6:$D$15,MATCH(B116,Retention!$A$6:$A$15,0)))</x:f>
      </x:c>
      <x:c r="I116" s="10" t="str">
        <x:f>IF(OR(A116="",NOT(ISNUMBER(D116)),NOT(ISNUMBER(G116))),"",IF(G116&lt;1,"",IF(H116="months",EDATE(D116,G116),IF(H116="days",D116+G116,""))))</x:f>
      </x:c>
      <x:c r="J116" s="8" t="str">
        <x:f>IF(A116="","",IF(COUNTIFS(Retention!$A$6:$A$15,B116)&lt;&gt;1,"Check category",IF(NOT(ISNUMBER(D116)),"Set start date",IF(NOT(ISNUMBER(I116)),"Check rule",IF(AND(E116&lt;&gt;"Yes",E116&lt;&gt;"No"),"Set hold flag",IF(E116="Yes","Hold",IF(AND(K116&lt;&gt;"",ISNUMBER(L116),M116&lt;&gt;""),"Review recorded",IF(OR(K116&lt;&gt;"",L116&lt;&gt;"",M116&lt;&gt;""),"Complete review details",IF(I116&lt;=TODAY(),"Review due","Retain")))))))))</x:f>
      </x:c>
      <x:c r="K116" s="7"/>
      <x:c r="L116" s="9"/>
      <x:c r="M116" s="7"/>
    </x:row>
    <x:row r="117" ht="25" customHeight="1">
      <x:c r="A117" s="7"/>
      <x:c r="B117" s="7"/>
      <x:c r="C117" s="7"/>
      <x:c r="D117" s="9"/>
      <x:c r="E117" s="7"/>
      <x:c r="F117" s="7"/>
      <x:c r="G117" s="8" t="str">
        <x:f>IF(OR(A117="",COUNTIFS(Retention!$A$6:$A$15,B117)&lt;&gt;1),"",INDEX(Retention!$C$6:$C$15,MATCH(B117,Retention!$A$6:$A$15,0)))</x:f>
      </x:c>
      <x:c r="H117" s="8" t="str">
        <x:f>IF(OR(A117="",COUNTIFS(Retention!$A$6:$A$15,B117)&lt;&gt;1),"",INDEX(Retention!$D$6:$D$15,MATCH(B117,Retention!$A$6:$A$15,0)))</x:f>
      </x:c>
      <x:c r="I117" s="10" t="str">
        <x:f>IF(OR(A117="",NOT(ISNUMBER(D117)),NOT(ISNUMBER(G117))),"",IF(G117&lt;1,"",IF(H117="months",EDATE(D117,G117),IF(H117="days",D117+G117,""))))</x:f>
      </x:c>
      <x:c r="J117" s="8" t="str">
        <x:f>IF(A117="","",IF(COUNTIFS(Retention!$A$6:$A$15,B117)&lt;&gt;1,"Check category",IF(NOT(ISNUMBER(D117)),"Set start date",IF(NOT(ISNUMBER(I117)),"Check rule",IF(AND(E117&lt;&gt;"Yes",E117&lt;&gt;"No"),"Set hold flag",IF(E117="Yes","Hold",IF(AND(K117&lt;&gt;"",ISNUMBER(L117),M117&lt;&gt;""),"Review recorded",IF(OR(K117&lt;&gt;"",L117&lt;&gt;"",M117&lt;&gt;""),"Complete review details",IF(I117&lt;=TODAY(),"Review due","Retain")))))))))</x:f>
      </x:c>
      <x:c r="K117" s="7"/>
      <x:c r="L117" s="9"/>
      <x:c r="M117" s="7"/>
    </x:row>
    <x:row r="118" ht="25" customHeight="1">
      <x:c r="A118" s="7"/>
      <x:c r="B118" s="7"/>
      <x:c r="C118" s="7"/>
      <x:c r="D118" s="9"/>
      <x:c r="E118" s="7"/>
      <x:c r="F118" s="7"/>
      <x:c r="G118" s="8" t="str">
        <x:f>IF(OR(A118="",COUNTIFS(Retention!$A$6:$A$15,B118)&lt;&gt;1),"",INDEX(Retention!$C$6:$C$15,MATCH(B118,Retention!$A$6:$A$15,0)))</x:f>
      </x:c>
      <x:c r="H118" s="8" t="str">
        <x:f>IF(OR(A118="",COUNTIFS(Retention!$A$6:$A$15,B118)&lt;&gt;1),"",INDEX(Retention!$D$6:$D$15,MATCH(B118,Retention!$A$6:$A$15,0)))</x:f>
      </x:c>
      <x:c r="I118" s="10" t="str">
        <x:f>IF(OR(A118="",NOT(ISNUMBER(D118)),NOT(ISNUMBER(G118))),"",IF(G118&lt;1,"",IF(H118="months",EDATE(D118,G118),IF(H118="days",D118+G118,""))))</x:f>
      </x:c>
      <x:c r="J118" s="8" t="str">
        <x:f>IF(A118="","",IF(COUNTIFS(Retention!$A$6:$A$15,B118)&lt;&gt;1,"Check category",IF(NOT(ISNUMBER(D118)),"Set start date",IF(NOT(ISNUMBER(I118)),"Check rule",IF(AND(E118&lt;&gt;"Yes",E118&lt;&gt;"No"),"Set hold flag",IF(E118="Yes","Hold",IF(AND(K118&lt;&gt;"",ISNUMBER(L118),M118&lt;&gt;""),"Review recorded",IF(OR(K118&lt;&gt;"",L118&lt;&gt;"",M118&lt;&gt;""),"Complete review details",IF(I118&lt;=TODAY(),"Review due","Retain")))))))))</x:f>
      </x:c>
      <x:c r="K118" s="7"/>
      <x:c r="L118" s="9"/>
      <x:c r="M118" s="7"/>
    </x:row>
    <x:row r="119" ht="25" customHeight="1">
      <x:c r="A119" s="7"/>
      <x:c r="B119" s="7"/>
      <x:c r="C119" s="7"/>
      <x:c r="D119" s="9"/>
      <x:c r="E119" s="7"/>
      <x:c r="F119" s="7"/>
      <x:c r="G119" s="8" t="str">
        <x:f>IF(OR(A119="",COUNTIFS(Retention!$A$6:$A$15,B119)&lt;&gt;1),"",INDEX(Retention!$C$6:$C$15,MATCH(B119,Retention!$A$6:$A$15,0)))</x:f>
      </x:c>
      <x:c r="H119" s="8" t="str">
        <x:f>IF(OR(A119="",COUNTIFS(Retention!$A$6:$A$15,B119)&lt;&gt;1),"",INDEX(Retention!$D$6:$D$15,MATCH(B119,Retention!$A$6:$A$15,0)))</x:f>
      </x:c>
      <x:c r="I119" s="10" t="str">
        <x:f>IF(OR(A119="",NOT(ISNUMBER(D119)),NOT(ISNUMBER(G119))),"",IF(G119&lt;1,"",IF(H119="months",EDATE(D119,G119),IF(H119="days",D119+G119,""))))</x:f>
      </x:c>
      <x:c r="J119" s="8" t="str">
        <x:f>IF(A119="","",IF(COUNTIFS(Retention!$A$6:$A$15,B119)&lt;&gt;1,"Check category",IF(NOT(ISNUMBER(D119)),"Set start date",IF(NOT(ISNUMBER(I119)),"Check rule",IF(AND(E119&lt;&gt;"Yes",E119&lt;&gt;"No"),"Set hold flag",IF(E119="Yes","Hold",IF(AND(K119&lt;&gt;"",ISNUMBER(L119),M119&lt;&gt;""),"Review recorded",IF(OR(K119&lt;&gt;"",L119&lt;&gt;"",M119&lt;&gt;""),"Complete review details",IF(I119&lt;=TODAY(),"Review due","Retain")))))))))</x:f>
      </x:c>
      <x:c r="K119" s="7"/>
      <x:c r="L119" s="9"/>
      <x:c r="M119" s="7"/>
    </x:row>
    <x:row r="120" ht="25" customHeight="1">
      <x:c r="A120" s="7"/>
      <x:c r="B120" s="7"/>
      <x:c r="C120" s="7"/>
      <x:c r="D120" s="9"/>
      <x:c r="E120" s="7"/>
      <x:c r="F120" s="7"/>
      <x:c r="G120" s="8" t="str">
        <x:f>IF(OR(A120="",COUNTIFS(Retention!$A$6:$A$15,B120)&lt;&gt;1),"",INDEX(Retention!$C$6:$C$15,MATCH(B120,Retention!$A$6:$A$15,0)))</x:f>
      </x:c>
      <x:c r="H120" s="8" t="str">
        <x:f>IF(OR(A120="",COUNTIFS(Retention!$A$6:$A$15,B120)&lt;&gt;1),"",INDEX(Retention!$D$6:$D$15,MATCH(B120,Retention!$A$6:$A$15,0)))</x:f>
      </x:c>
      <x:c r="I120" s="10" t="str">
        <x:f>IF(OR(A120="",NOT(ISNUMBER(D120)),NOT(ISNUMBER(G120))),"",IF(G120&lt;1,"",IF(H120="months",EDATE(D120,G120),IF(H120="days",D120+G120,""))))</x:f>
      </x:c>
      <x:c r="J120" s="8" t="str">
        <x:f>IF(A120="","",IF(COUNTIFS(Retention!$A$6:$A$15,B120)&lt;&gt;1,"Check category",IF(NOT(ISNUMBER(D120)),"Set start date",IF(NOT(ISNUMBER(I120)),"Check rule",IF(AND(E120&lt;&gt;"Yes",E120&lt;&gt;"No"),"Set hold flag",IF(E120="Yes","Hold",IF(AND(K120&lt;&gt;"",ISNUMBER(L120),M120&lt;&gt;""),"Review recorded",IF(OR(K120&lt;&gt;"",L120&lt;&gt;"",M120&lt;&gt;""),"Complete review details",IF(I120&lt;=TODAY(),"Review due","Retain")))))))))</x:f>
      </x:c>
      <x:c r="K120" s="7"/>
      <x:c r="L120" s="9"/>
      <x:c r="M120" s="7"/>
    </x:row>
    <x:row r="121" ht="25" customHeight="1">
      <x:c r="A121" s="7"/>
      <x:c r="B121" s="7"/>
      <x:c r="C121" s="7"/>
      <x:c r="D121" s="9"/>
      <x:c r="E121" s="7"/>
      <x:c r="F121" s="7"/>
      <x:c r="G121" s="8" t="str">
        <x:f>IF(OR(A121="",COUNTIFS(Retention!$A$6:$A$15,B121)&lt;&gt;1),"",INDEX(Retention!$C$6:$C$15,MATCH(B121,Retention!$A$6:$A$15,0)))</x:f>
      </x:c>
      <x:c r="H121" s="8" t="str">
        <x:f>IF(OR(A121="",COUNTIFS(Retention!$A$6:$A$15,B121)&lt;&gt;1),"",INDEX(Retention!$D$6:$D$15,MATCH(B121,Retention!$A$6:$A$15,0)))</x:f>
      </x:c>
      <x:c r="I121" s="10" t="str">
        <x:f>IF(OR(A121="",NOT(ISNUMBER(D121)),NOT(ISNUMBER(G121))),"",IF(G121&lt;1,"",IF(H121="months",EDATE(D121,G121),IF(H121="days",D121+G121,""))))</x:f>
      </x:c>
      <x:c r="J121" s="8" t="str">
        <x:f>IF(A121="","",IF(COUNTIFS(Retention!$A$6:$A$15,B121)&lt;&gt;1,"Check category",IF(NOT(ISNUMBER(D121)),"Set start date",IF(NOT(ISNUMBER(I121)),"Check rule",IF(AND(E121&lt;&gt;"Yes",E121&lt;&gt;"No"),"Set hold flag",IF(E121="Yes","Hold",IF(AND(K121&lt;&gt;"",ISNUMBER(L121),M121&lt;&gt;""),"Review recorded",IF(OR(K121&lt;&gt;"",L121&lt;&gt;"",M121&lt;&gt;""),"Complete review details",IF(I121&lt;=TODAY(),"Review due","Retain")))))))))</x:f>
      </x:c>
      <x:c r="K121" s="7"/>
      <x:c r="L121" s="9"/>
      <x:c r="M121" s="7"/>
    </x:row>
    <x:row r="122" ht="25" customHeight="1">
      <x:c r="A122" s="7"/>
      <x:c r="B122" s="7"/>
      <x:c r="C122" s="7"/>
      <x:c r="D122" s="9"/>
      <x:c r="E122" s="7"/>
      <x:c r="F122" s="7"/>
      <x:c r="G122" s="8" t="str">
        <x:f>IF(OR(A122="",COUNTIFS(Retention!$A$6:$A$15,B122)&lt;&gt;1),"",INDEX(Retention!$C$6:$C$15,MATCH(B122,Retention!$A$6:$A$15,0)))</x:f>
      </x:c>
      <x:c r="H122" s="8" t="str">
        <x:f>IF(OR(A122="",COUNTIFS(Retention!$A$6:$A$15,B122)&lt;&gt;1),"",INDEX(Retention!$D$6:$D$15,MATCH(B122,Retention!$A$6:$A$15,0)))</x:f>
      </x:c>
      <x:c r="I122" s="10" t="str">
        <x:f>IF(OR(A122="",NOT(ISNUMBER(D122)),NOT(ISNUMBER(G122))),"",IF(G122&lt;1,"",IF(H122="months",EDATE(D122,G122),IF(H122="days",D122+G122,""))))</x:f>
      </x:c>
      <x:c r="J122" s="8" t="str">
        <x:f>IF(A122="","",IF(COUNTIFS(Retention!$A$6:$A$15,B122)&lt;&gt;1,"Check category",IF(NOT(ISNUMBER(D122)),"Set start date",IF(NOT(ISNUMBER(I122)),"Check rule",IF(AND(E122&lt;&gt;"Yes",E122&lt;&gt;"No"),"Set hold flag",IF(E122="Yes","Hold",IF(AND(K122&lt;&gt;"",ISNUMBER(L122),M122&lt;&gt;""),"Review recorded",IF(OR(K122&lt;&gt;"",L122&lt;&gt;"",M122&lt;&gt;""),"Complete review details",IF(I122&lt;=TODAY(),"Review due","Retain")))))))))</x:f>
      </x:c>
      <x:c r="K122" s="7"/>
      <x:c r="L122" s="9"/>
      <x:c r="M122" s="7"/>
    </x:row>
    <x:row r="123" ht="25" customHeight="1">
      <x:c r="A123" s="7"/>
      <x:c r="B123" s="7"/>
      <x:c r="C123" s="7"/>
      <x:c r="D123" s="9"/>
      <x:c r="E123" s="7"/>
      <x:c r="F123" s="7"/>
      <x:c r="G123" s="8" t="str">
        <x:f>IF(OR(A123="",COUNTIFS(Retention!$A$6:$A$15,B123)&lt;&gt;1),"",INDEX(Retention!$C$6:$C$15,MATCH(B123,Retention!$A$6:$A$15,0)))</x:f>
      </x:c>
      <x:c r="H123" s="8" t="str">
        <x:f>IF(OR(A123="",COUNTIFS(Retention!$A$6:$A$15,B123)&lt;&gt;1),"",INDEX(Retention!$D$6:$D$15,MATCH(B123,Retention!$A$6:$A$15,0)))</x:f>
      </x:c>
      <x:c r="I123" s="10" t="str">
        <x:f>IF(OR(A123="",NOT(ISNUMBER(D123)),NOT(ISNUMBER(G123))),"",IF(G123&lt;1,"",IF(H123="months",EDATE(D123,G123),IF(H123="days",D123+G123,""))))</x:f>
      </x:c>
      <x:c r="J123" s="8" t="str">
        <x:f>IF(A123="","",IF(COUNTIFS(Retention!$A$6:$A$15,B123)&lt;&gt;1,"Check category",IF(NOT(ISNUMBER(D123)),"Set start date",IF(NOT(ISNUMBER(I123)),"Check rule",IF(AND(E123&lt;&gt;"Yes",E123&lt;&gt;"No"),"Set hold flag",IF(E123="Yes","Hold",IF(AND(K123&lt;&gt;"",ISNUMBER(L123),M123&lt;&gt;""),"Review recorded",IF(OR(K123&lt;&gt;"",L123&lt;&gt;"",M123&lt;&gt;""),"Complete review details",IF(I123&lt;=TODAY(),"Review due","Retain")))))))))</x:f>
      </x:c>
      <x:c r="K123" s="7"/>
      <x:c r="L123" s="9"/>
      <x:c r="M123" s="7"/>
    </x:row>
    <x:row r="124" ht="25" customHeight="1">
      <x:c r="A124" s="7"/>
      <x:c r="B124" s="7"/>
      <x:c r="C124" s="7"/>
      <x:c r="D124" s="9"/>
      <x:c r="E124" s="7"/>
      <x:c r="F124" s="7"/>
      <x:c r="G124" s="8" t="str">
        <x:f>IF(OR(A124="",COUNTIFS(Retention!$A$6:$A$15,B124)&lt;&gt;1),"",INDEX(Retention!$C$6:$C$15,MATCH(B124,Retention!$A$6:$A$15,0)))</x:f>
      </x:c>
      <x:c r="H124" s="8" t="str">
        <x:f>IF(OR(A124="",COUNTIFS(Retention!$A$6:$A$15,B124)&lt;&gt;1),"",INDEX(Retention!$D$6:$D$15,MATCH(B124,Retention!$A$6:$A$15,0)))</x:f>
      </x:c>
      <x:c r="I124" s="10" t="str">
        <x:f>IF(OR(A124="",NOT(ISNUMBER(D124)),NOT(ISNUMBER(G124))),"",IF(G124&lt;1,"",IF(H124="months",EDATE(D124,G124),IF(H124="days",D124+G124,""))))</x:f>
      </x:c>
      <x:c r="J124" s="8" t="str">
        <x:f>IF(A124="","",IF(COUNTIFS(Retention!$A$6:$A$15,B124)&lt;&gt;1,"Check category",IF(NOT(ISNUMBER(D124)),"Set start date",IF(NOT(ISNUMBER(I124)),"Check rule",IF(AND(E124&lt;&gt;"Yes",E124&lt;&gt;"No"),"Set hold flag",IF(E124="Yes","Hold",IF(AND(K124&lt;&gt;"",ISNUMBER(L124),M124&lt;&gt;""),"Review recorded",IF(OR(K124&lt;&gt;"",L124&lt;&gt;"",M124&lt;&gt;""),"Complete review details",IF(I124&lt;=TODAY(),"Review due","Retain")))))))))</x:f>
      </x:c>
      <x:c r="K124" s="7"/>
      <x:c r="L124" s="9"/>
      <x:c r="M124" s="7"/>
    </x:row>
    <x:row r="125" ht="25" customHeight="1">
      <x:c r="A125" s="7"/>
      <x:c r="B125" s="7"/>
      <x:c r="C125" s="7"/>
      <x:c r="D125" s="9"/>
      <x:c r="E125" s="7"/>
      <x:c r="F125" s="7"/>
      <x:c r="G125" s="8" t="str">
        <x:f>IF(OR(A125="",COUNTIFS(Retention!$A$6:$A$15,B125)&lt;&gt;1),"",INDEX(Retention!$C$6:$C$15,MATCH(B125,Retention!$A$6:$A$15,0)))</x:f>
      </x:c>
      <x:c r="H125" s="8" t="str">
        <x:f>IF(OR(A125="",COUNTIFS(Retention!$A$6:$A$15,B125)&lt;&gt;1),"",INDEX(Retention!$D$6:$D$15,MATCH(B125,Retention!$A$6:$A$15,0)))</x:f>
      </x:c>
      <x:c r="I125" s="10" t="str">
        <x:f>IF(OR(A125="",NOT(ISNUMBER(D125)),NOT(ISNUMBER(G125))),"",IF(G125&lt;1,"",IF(H125="months",EDATE(D125,G125),IF(H125="days",D125+G125,""))))</x:f>
      </x:c>
      <x:c r="J125" s="8" t="str">
        <x:f>IF(A125="","",IF(COUNTIFS(Retention!$A$6:$A$15,B125)&lt;&gt;1,"Check category",IF(NOT(ISNUMBER(D125)),"Set start date",IF(NOT(ISNUMBER(I125)),"Check rule",IF(AND(E125&lt;&gt;"Yes",E125&lt;&gt;"No"),"Set hold flag",IF(E125="Yes","Hold",IF(AND(K125&lt;&gt;"",ISNUMBER(L125),M125&lt;&gt;""),"Review recorded",IF(OR(K125&lt;&gt;"",L125&lt;&gt;"",M125&lt;&gt;""),"Complete review details",IF(I125&lt;=TODAY(),"Review due","Retain")))))))))</x:f>
      </x:c>
      <x:c r="K125" s="7"/>
      <x:c r="L125" s="9"/>
      <x:c r="M125" s="7"/>
    </x:row>
    <x:row r="126" ht="25" customHeight="1">
      <x:c r="A126" s="7"/>
      <x:c r="B126" s="7"/>
      <x:c r="C126" s="7"/>
      <x:c r="D126" s="9"/>
      <x:c r="E126" s="7"/>
      <x:c r="F126" s="7"/>
      <x:c r="G126" s="8" t="str">
        <x:f>IF(OR(A126="",COUNTIFS(Retention!$A$6:$A$15,B126)&lt;&gt;1),"",INDEX(Retention!$C$6:$C$15,MATCH(B126,Retention!$A$6:$A$15,0)))</x:f>
      </x:c>
      <x:c r="H126" s="8" t="str">
        <x:f>IF(OR(A126="",COUNTIFS(Retention!$A$6:$A$15,B126)&lt;&gt;1),"",INDEX(Retention!$D$6:$D$15,MATCH(B126,Retention!$A$6:$A$15,0)))</x:f>
      </x:c>
      <x:c r="I126" s="10" t="str">
        <x:f>IF(OR(A126="",NOT(ISNUMBER(D126)),NOT(ISNUMBER(G126))),"",IF(G126&lt;1,"",IF(H126="months",EDATE(D126,G126),IF(H126="days",D126+G126,""))))</x:f>
      </x:c>
      <x:c r="J126" s="8" t="str">
        <x:f>IF(A126="","",IF(COUNTIFS(Retention!$A$6:$A$15,B126)&lt;&gt;1,"Check category",IF(NOT(ISNUMBER(D126)),"Set start date",IF(NOT(ISNUMBER(I126)),"Check rule",IF(AND(E126&lt;&gt;"Yes",E126&lt;&gt;"No"),"Set hold flag",IF(E126="Yes","Hold",IF(AND(K126&lt;&gt;"",ISNUMBER(L126),M126&lt;&gt;""),"Review recorded",IF(OR(K126&lt;&gt;"",L126&lt;&gt;"",M126&lt;&gt;""),"Complete review details",IF(I126&lt;=TODAY(),"Review due","Retain")))))))))</x:f>
      </x:c>
      <x:c r="K126" s="7"/>
      <x:c r="L126" s="9"/>
      <x:c r="M126" s="7"/>
    </x:row>
    <x:row r="127" ht="25" customHeight="1">
      <x:c r="A127" s="7"/>
      <x:c r="B127" s="7"/>
      <x:c r="C127" s="7"/>
      <x:c r="D127" s="9"/>
      <x:c r="E127" s="7"/>
      <x:c r="F127" s="7"/>
      <x:c r="G127" s="8" t="str">
        <x:f>IF(OR(A127="",COUNTIFS(Retention!$A$6:$A$15,B127)&lt;&gt;1),"",INDEX(Retention!$C$6:$C$15,MATCH(B127,Retention!$A$6:$A$15,0)))</x:f>
      </x:c>
      <x:c r="H127" s="8" t="str">
        <x:f>IF(OR(A127="",COUNTIFS(Retention!$A$6:$A$15,B127)&lt;&gt;1),"",INDEX(Retention!$D$6:$D$15,MATCH(B127,Retention!$A$6:$A$15,0)))</x:f>
      </x:c>
      <x:c r="I127" s="10" t="str">
        <x:f>IF(OR(A127="",NOT(ISNUMBER(D127)),NOT(ISNUMBER(G127))),"",IF(G127&lt;1,"",IF(H127="months",EDATE(D127,G127),IF(H127="days",D127+G127,""))))</x:f>
      </x:c>
      <x:c r="J127" s="8" t="str">
        <x:f>IF(A127="","",IF(COUNTIFS(Retention!$A$6:$A$15,B127)&lt;&gt;1,"Check category",IF(NOT(ISNUMBER(D127)),"Set start date",IF(NOT(ISNUMBER(I127)),"Check rule",IF(AND(E127&lt;&gt;"Yes",E127&lt;&gt;"No"),"Set hold flag",IF(E127="Yes","Hold",IF(AND(K127&lt;&gt;"",ISNUMBER(L127),M127&lt;&gt;""),"Review recorded",IF(OR(K127&lt;&gt;"",L127&lt;&gt;"",M127&lt;&gt;""),"Complete review details",IF(I127&lt;=TODAY(),"Review due","Retain")))))))))</x:f>
      </x:c>
      <x:c r="K127" s="7"/>
      <x:c r="L127" s="9"/>
      <x:c r="M127" s="7"/>
    </x:row>
    <x:row r="128" ht="25" customHeight="1">
      <x:c r="A128" s="7"/>
      <x:c r="B128" s="7"/>
      <x:c r="C128" s="7"/>
      <x:c r="D128" s="9"/>
      <x:c r="E128" s="7"/>
      <x:c r="F128" s="7"/>
      <x:c r="G128" s="8" t="str">
        <x:f>IF(OR(A128="",COUNTIFS(Retention!$A$6:$A$15,B128)&lt;&gt;1),"",INDEX(Retention!$C$6:$C$15,MATCH(B128,Retention!$A$6:$A$15,0)))</x:f>
      </x:c>
      <x:c r="H128" s="8" t="str">
        <x:f>IF(OR(A128="",COUNTIFS(Retention!$A$6:$A$15,B128)&lt;&gt;1),"",INDEX(Retention!$D$6:$D$15,MATCH(B128,Retention!$A$6:$A$15,0)))</x:f>
      </x:c>
      <x:c r="I128" s="10" t="str">
        <x:f>IF(OR(A128="",NOT(ISNUMBER(D128)),NOT(ISNUMBER(G128))),"",IF(G128&lt;1,"",IF(H128="months",EDATE(D128,G128),IF(H128="days",D128+G128,""))))</x:f>
      </x:c>
      <x:c r="J128" s="8" t="str">
        <x:f>IF(A128="","",IF(COUNTIFS(Retention!$A$6:$A$15,B128)&lt;&gt;1,"Check category",IF(NOT(ISNUMBER(D128)),"Set start date",IF(NOT(ISNUMBER(I128)),"Check rule",IF(AND(E128&lt;&gt;"Yes",E128&lt;&gt;"No"),"Set hold flag",IF(E128="Yes","Hold",IF(AND(K128&lt;&gt;"",ISNUMBER(L128),M128&lt;&gt;""),"Review recorded",IF(OR(K128&lt;&gt;"",L128&lt;&gt;"",M128&lt;&gt;""),"Complete review details",IF(I128&lt;=TODAY(),"Review due","Retain")))))))))</x:f>
      </x:c>
      <x:c r="K128" s="7"/>
      <x:c r="L128" s="9"/>
      <x:c r="M128" s="7"/>
    </x:row>
    <x:row r="129" ht="25" customHeight="1">
      <x:c r="A129" s="7"/>
      <x:c r="B129" s="7"/>
      <x:c r="C129" s="7"/>
      <x:c r="D129" s="9"/>
      <x:c r="E129" s="7"/>
      <x:c r="F129" s="7"/>
      <x:c r="G129" s="8" t="str">
        <x:f>IF(OR(A129="",COUNTIFS(Retention!$A$6:$A$15,B129)&lt;&gt;1),"",INDEX(Retention!$C$6:$C$15,MATCH(B129,Retention!$A$6:$A$15,0)))</x:f>
      </x:c>
      <x:c r="H129" s="8" t="str">
        <x:f>IF(OR(A129="",COUNTIFS(Retention!$A$6:$A$15,B129)&lt;&gt;1),"",INDEX(Retention!$D$6:$D$15,MATCH(B129,Retention!$A$6:$A$15,0)))</x:f>
      </x:c>
      <x:c r="I129" s="10" t="str">
        <x:f>IF(OR(A129="",NOT(ISNUMBER(D129)),NOT(ISNUMBER(G129))),"",IF(G129&lt;1,"",IF(H129="months",EDATE(D129,G129),IF(H129="days",D129+G129,""))))</x:f>
      </x:c>
      <x:c r="J129" s="8" t="str">
        <x:f>IF(A129="","",IF(COUNTIFS(Retention!$A$6:$A$15,B129)&lt;&gt;1,"Check category",IF(NOT(ISNUMBER(D129)),"Set start date",IF(NOT(ISNUMBER(I129)),"Check rule",IF(AND(E129&lt;&gt;"Yes",E129&lt;&gt;"No"),"Set hold flag",IF(E129="Yes","Hold",IF(AND(K129&lt;&gt;"",ISNUMBER(L129),M129&lt;&gt;""),"Review recorded",IF(OR(K129&lt;&gt;"",L129&lt;&gt;"",M129&lt;&gt;""),"Complete review details",IF(I129&lt;=TODAY(),"Review due","Retain")))))))))</x:f>
      </x:c>
      <x:c r="K129" s="7"/>
      <x:c r="L129" s="9"/>
      <x:c r="M129" s="7"/>
    </x:row>
    <x:row r="130" ht="25" customHeight="1">
      <x:c r="A130" s="7"/>
      <x:c r="B130" s="7"/>
      <x:c r="C130" s="7"/>
      <x:c r="D130" s="9"/>
      <x:c r="E130" s="7"/>
      <x:c r="F130" s="7"/>
      <x:c r="G130" s="8" t="str">
        <x:f>IF(OR(A130="",COUNTIFS(Retention!$A$6:$A$15,B130)&lt;&gt;1),"",INDEX(Retention!$C$6:$C$15,MATCH(B130,Retention!$A$6:$A$15,0)))</x:f>
      </x:c>
      <x:c r="H130" s="8" t="str">
        <x:f>IF(OR(A130="",COUNTIFS(Retention!$A$6:$A$15,B130)&lt;&gt;1),"",INDEX(Retention!$D$6:$D$15,MATCH(B130,Retention!$A$6:$A$15,0)))</x:f>
      </x:c>
      <x:c r="I130" s="10" t="str">
        <x:f>IF(OR(A130="",NOT(ISNUMBER(D130)),NOT(ISNUMBER(G130))),"",IF(G130&lt;1,"",IF(H130="months",EDATE(D130,G130),IF(H130="days",D130+G130,""))))</x:f>
      </x:c>
      <x:c r="J130" s="8" t="str">
        <x:f>IF(A130="","",IF(COUNTIFS(Retention!$A$6:$A$15,B130)&lt;&gt;1,"Check category",IF(NOT(ISNUMBER(D130)),"Set start date",IF(NOT(ISNUMBER(I130)),"Check rule",IF(AND(E130&lt;&gt;"Yes",E130&lt;&gt;"No"),"Set hold flag",IF(E130="Yes","Hold",IF(AND(K130&lt;&gt;"",ISNUMBER(L130),M130&lt;&gt;""),"Review recorded",IF(OR(K130&lt;&gt;"",L130&lt;&gt;"",M130&lt;&gt;""),"Complete review details",IF(I130&lt;=TODAY(),"Review due","Retain")))))))))</x:f>
      </x:c>
      <x:c r="K130" s="7"/>
      <x:c r="L130" s="9"/>
      <x:c r="M130" s="7"/>
    </x:row>
    <x:row r="131" ht="25" customHeight="1">
      <x:c r="A131" s="7"/>
      <x:c r="B131" s="7"/>
      <x:c r="C131" s="7"/>
      <x:c r="D131" s="9"/>
      <x:c r="E131" s="7"/>
      <x:c r="F131" s="7"/>
      <x:c r="G131" s="8" t="str">
        <x:f>IF(OR(A131="",COUNTIFS(Retention!$A$6:$A$15,B131)&lt;&gt;1),"",INDEX(Retention!$C$6:$C$15,MATCH(B131,Retention!$A$6:$A$15,0)))</x:f>
      </x:c>
      <x:c r="H131" s="8" t="str">
        <x:f>IF(OR(A131="",COUNTIFS(Retention!$A$6:$A$15,B131)&lt;&gt;1),"",INDEX(Retention!$D$6:$D$15,MATCH(B131,Retention!$A$6:$A$15,0)))</x:f>
      </x:c>
      <x:c r="I131" s="10" t="str">
        <x:f>IF(OR(A131="",NOT(ISNUMBER(D131)),NOT(ISNUMBER(G131))),"",IF(G131&lt;1,"",IF(H131="months",EDATE(D131,G131),IF(H131="days",D131+G131,""))))</x:f>
      </x:c>
      <x:c r="J131" s="8" t="str">
        <x:f>IF(A131="","",IF(COUNTIFS(Retention!$A$6:$A$15,B131)&lt;&gt;1,"Check category",IF(NOT(ISNUMBER(D131)),"Set start date",IF(NOT(ISNUMBER(I131)),"Check rule",IF(AND(E131&lt;&gt;"Yes",E131&lt;&gt;"No"),"Set hold flag",IF(E131="Yes","Hold",IF(AND(K131&lt;&gt;"",ISNUMBER(L131),M131&lt;&gt;""),"Review recorded",IF(OR(K131&lt;&gt;"",L131&lt;&gt;"",M131&lt;&gt;""),"Complete review details",IF(I131&lt;=TODAY(),"Review due","Retain")))))))))</x:f>
      </x:c>
      <x:c r="K131" s="7"/>
      <x:c r="L131" s="9"/>
      <x:c r="M131" s="7"/>
    </x:row>
    <x:row r="132" ht="25" customHeight="1">
      <x:c r="A132" s="7"/>
      <x:c r="B132" s="7"/>
      <x:c r="C132" s="7"/>
      <x:c r="D132" s="9"/>
      <x:c r="E132" s="7"/>
      <x:c r="F132" s="7"/>
      <x:c r="G132" s="8" t="str">
        <x:f>IF(OR(A132="",COUNTIFS(Retention!$A$6:$A$15,B132)&lt;&gt;1),"",INDEX(Retention!$C$6:$C$15,MATCH(B132,Retention!$A$6:$A$15,0)))</x:f>
      </x:c>
      <x:c r="H132" s="8" t="str">
        <x:f>IF(OR(A132="",COUNTIFS(Retention!$A$6:$A$15,B132)&lt;&gt;1),"",INDEX(Retention!$D$6:$D$15,MATCH(B132,Retention!$A$6:$A$15,0)))</x:f>
      </x:c>
      <x:c r="I132" s="10" t="str">
        <x:f>IF(OR(A132="",NOT(ISNUMBER(D132)),NOT(ISNUMBER(G132))),"",IF(G132&lt;1,"",IF(H132="months",EDATE(D132,G132),IF(H132="days",D132+G132,""))))</x:f>
      </x:c>
      <x:c r="J132" s="8" t="str">
        <x:f>IF(A132="","",IF(COUNTIFS(Retention!$A$6:$A$15,B132)&lt;&gt;1,"Check category",IF(NOT(ISNUMBER(D132)),"Set start date",IF(NOT(ISNUMBER(I132)),"Check rule",IF(AND(E132&lt;&gt;"Yes",E132&lt;&gt;"No"),"Set hold flag",IF(E132="Yes","Hold",IF(AND(K132&lt;&gt;"",ISNUMBER(L132),M132&lt;&gt;""),"Review recorded",IF(OR(K132&lt;&gt;"",L132&lt;&gt;"",M132&lt;&gt;""),"Complete review details",IF(I132&lt;=TODAY(),"Review due","Retain")))))))))</x:f>
      </x:c>
      <x:c r="K132" s="7"/>
      <x:c r="L132" s="9"/>
      <x:c r="M132" s="7"/>
    </x:row>
    <x:row r="133" ht="25" customHeight="1">
      <x:c r="A133" s="7"/>
      <x:c r="B133" s="7"/>
      <x:c r="C133" s="7"/>
      <x:c r="D133" s="9"/>
      <x:c r="E133" s="7"/>
      <x:c r="F133" s="7"/>
      <x:c r="G133" s="8" t="str">
        <x:f>IF(OR(A133="",COUNTIFS(Retention!$A$6:$A$15,B133)&lt;&gt;1),"",INDEX(Retention!$C$6:$C$15,MATCH(B133,Retention!$A$6:$A$15,0)))</x:f>
      </x:c>
      <x:c r="H133" s="8" t="str">
        <x:f>IF(OR(A133="",COUNTIFS(Retention!$A$6:$A$15,B133)&lt;&gt;1),"",INDEX(Retention!$D$6:$D$15,MATCH(B133,Retention!$A$6:$A$15,0)))</x:f>
      </x:c>
      <x:c r="I133" s="10" t="str">
        <x:f>IF(OR(A133="",NOT(ISNUMBER(D133)),NOT(ISNUMBER(G133))),"",IF(G133&lt;1,"",IF(H133="months",EDATE(D133,G133),IF(H133="days",D133+G133,""))))</x:f>
      </x:c>
      <x:c r="J133" s="8" t="str">
        <x:f>IF(A133="","",IF(COUNTIFS(Retention!$A$6:$A$15,B133)&lt;&gt;1,"Check category",IF(NOT(ISNUMBER(D133)),"Set start date",IF(NOT(ISNUMBER(I133)),"Check rule",IF(AND(E133&lt;&gt;"Yes",E133&lt;&gt;"No"),"Set hold flag",IF(E133="Yes","Hold",IF(AND(K133&lt;&gt;"",ISNUMBER(L133),M133&lt;&gt;""),"Review recorded",IF(OR(K133&lt;&gt;"",L133&lt;&gt;"",M133&lt;&gt;""),"Complete review details",IF(I133&lt;=TODAY(),"Review due","Retain")))))))))</x:f>
      </x:c>
      <x:c r="K133" s="7"/>
      <x:c r="L133" s="9"/>
      <x:c r="M133" s="7"/>
    </x:row>
    <x:row r="134" ht="25" customHeight="1">
      <x:c r="A134" s="7"/>
      <x:c r="B134" s="7"/>
      <x:c r="C134" s="7"/>
      <x:c r="D134" s="9"/>
      <x:c r="E134" s="7"/>
      <x:c r="F134" s="7"/>
      <x:c r="G134" s="8" t="str">
        <x:f>IF(OR(A134="",COUNTIFS(Retention!$A$6:$A$15,B134)&lt;&gt;1),"",INDEX(Retention!$C$6:$C$15,MATCH(B134,Retention!$A$6:$A$15,0)))</x:f>
      </x:c>
      <x:c r="H134" s="8" t="str">
        <x:f>IF(OR(A134="",COUNTIFS(Retention!$A$6:$A$15,B134)&lt;&gt;1),"",INDEX(Retention!$D$6:$D$15,MATCH(B134,Retention!$A$6:$A$15,0)))</x:f>
      </x:c>
      <x:c r="I134" s="10" t="str">
        <x:f>IF(OR(A134="",NOT(ISNUMBER(D134)),NOT(ISNUMBER(G134))),"",IF(G134&lt;1,"",IF(H134="months",EDATE(D134,G134),IF(H134="days",D134+G134,""))))</x:f>
      </x:c>
      <x:c r="J134" s="8" t="str">
        <x:f>IF(A134="","",IF(COUNTIFS(Retention!$A$6:$A$15,B134)&lt;&gt;1,"Check category",IF(NOT(ISNUMBER(D134)),"Set start date",IF(NOT(ISNUMBER(I134)),"Check rule",IF(AND(E134&lt;&gt;"Yes",E134&lt;&gt;"No"),"Set hold flag",IF(E134="Yes","Hold",IF(AND(K134&lt;&gt;"",ISNUMBER(L134),M134&lt;&gt;""),"Review recorded",IF(OR(K134&lt;&gt;"",L134&lt;&gt;"",M134&lt;&gt;""),"Complete review details",IF(I134&lt;=TODAY(),"Review due","Retain")))))))))</x:f>
      </x:c>
      <x:c r="K134" s="7"/>
      <x:c r="L134" s="9"/>
      <x:c r="M134" s="7"/>
    </x:row>
    <x:row r="135" ht="25" customHeight="1">
      <x:c r="A135" s="7"/>
      <x:c r="B135" s="7"/>
      <x:c r="C135" s="7"/>
      <x:c r="D135" s="9"/>
      <x:c r="E135" s="7"/>
      <x:c r="F135" s="7"/>
      <x:c r="G135" s="8" t="str">
        <x:f>IF(OR(A135="",COUNTIFS(Retention!$A$6:$A$15,B135)&lt;&gt;1),"",INDEX(Retention!$C$6:$C$15,MATCH(B135,Retention!$A$6:$A$15,0)))</x:f>
      </x:c>
      <x:c r="H135" s="8" t="str">
        <x:f>IF(OR(A135="",COUNTIFS(Retention!$A$6:$A$15,B135)&lt;&gt;1),"",INDEX(Retention!$D$6:$D$15,MATCH(B135,Retention!$A$6:$A$15,0)))</x:f>
      </x:c>
      <x:c r="I135" s="10" t="str">
        <x:f>IF(OR(A135="",NOT(ISNUMBER(D135)),NOT(ISNUMBER(G135))),"",IF(G135&lt;1,"",IF(H135="months",EDATE(D135,G135),IF(H135="days",D135+G135,""))))</x:f>
      </x:c>
      <x:c r="J135" s="8" t="str">
        <x:f>IF(A135="","",IF(COUNTIFS(Retention!$A$6:$A$15,B135)&lt;&gt;1,"Check category",IF(NOT(ISNUMBER(D135)),"Set start date",IF(NOT(ISNUMBER(I135)),"Check rule",IF(AND(E135&lt;&gt;"Yes",E135&lt;&gt;"No"),"Set hold flag",IF(E135="Yes","Hold",IF(AND(K135&lt;&gt;"",ISNUMBER(L135),M135&lt;&gt;""),"Review recorded",IF(OR(K135&lt;&gt;"",L135&lt;&gt;"",M135&lt;&gt;""),"Complete review details",IF(I135&lt;=TODAY(),"Review due","Retain")))))))))</x:f>
      </x:c>
      <x:c r="K135" s="7"/>
      <x:c r="L135" s="9"/>
      <x:c r="M135" s="7"/>
    </x:row>
    <x:row r="136" ht="25" customHeight="1">
      <x:c r="A136" s="7"/>
      <x:c r="B136" s="7"/>
      <x:c r="C136" s="7"/>
      <x:c r="D136" s="9"/>
      <x:c r="E136" s="7"/>
      <x:c r="F136" s="7"/>
      <x:c r="G136" s="8" t="str">
        <x:f>IF(OR(A136="",COUNTIFS(Retention!$A$6:$A$15,B136)&lt;&gt;1),"",INDEX(Retention!$C$6:$C$15,MATCH(B136,Retention!$A$6:$A$15,0)))</x:f>
      </x:c>
      <x:c r="H136" s="8" t="str">
        <x:f>IF(OR(A136="",COUNTIFS(Retention!$A$6:$A$15,B136)&lt;&gt;1),"",INDEX(Retention!$D$6:$D$15,MATCH(B136,Retention!$A$6:$A$15,0)))</x:f>
      </x:c>
      <x:c r="I136" s="10" t="str">
        <x:f>IF(OR(A136="",NOT(ISNUMBER(D136)),NOT(ISNUMBER(G136))),"",IF(G136&lt;1,"",IF(H136="months",EDATE(D136,G136),IF(H136="days",D136+G136,""))))</x:f>
      </x:c>
      <x:c r="J136" s="8" t="str">
        <x:f>IF(A136="","",IF(COUNTIFS(Retention!$A$6:$A$15,B136)&lt;&gt;1,"Check category",IF(NOT(ISNUMBER(D136)),"Set start date",IF(NOT(ISNUMBER(I136)),"Check rule",IF(AND(E136&lt;&gt;"Yes",E136&lt;&gt;"No"),"Set hold flag",IF(E136="Yes","Hold",IF(AND(K136&lt;&gt;"",ISNUMBER(L136),M136&lt;&gt;""),"Review recorded",IF(OR(K136&lt;&gt;"",L136&lt;&gt;"",M136&lt;&gt;""),"Complete review details",IF(I136&lt;=TODAY(),"Review due","Retain")))))))))</x:f>
      </x:c>
      <x:c r="K136" s="7"/>
      <x:c r="L136" s="9"/>
      <x:c r="M136" s="7"/>
    </x:row>
    <x:row r="137" ht="25" customHeight="1">
      <x:c r="A137" s="7"/>
      <x:c r="B137" s="7"/>
      <x:c r="C137" s="7"/>
      <x:c r="D137" s="9"/>
      <x:c r="E137" s="7"/>
      <x:c r="F137" s="7"/>
      <x:c r="G137" s="8" t="str">
        <x:f>IF(OR(A137="",COUNTIFS(Retention!$A$6:$A$15,B137)&lt;&gt;1),"",INDEX(Retention!$C$6:$C$15,MATCH(B137,Retention!$A$6:$A$15,0)))</x:f>
      </x:c>
      <x:c r="H137" s="8" t="str">
        <x:f>IF(OR(A137="",COUNTIFS(Retention!$A$6:$A$15,B137)&lt;&gt;1),"",INDEX(Retention!$D$6:$D$15,MATCH(B137,Retention!$A$6:$A$15,0)))</x:f>
      </x:c>
      <x:c r="I137" s="10" t="str">
        <x:f>IF(OR(A137="",NOT(ISNUMBER(D137)),NOT(ISNUMBER(G137))),"",IF(G137&lt;1,"",IF(H137="months",EDATE(D137,G137),IF(H137="days",D137+G137,""))))</x:f>
      </x:c>
      <x:c r="J137" s="8" t="str">
        <x:f>IF(A137="","",IF(COUNTIFS(Retention!$A$6:$A$15,B137)&lt;&gt;1,"Check category",IF(NOT(ISNUMBER(D137)),"Set start date",IF(NOT(ISNUMBER(I137)),"Check rule",IF(AND(E137&lt;&gt;"Yes",E137&lt;&gt;"No"),"Set hold flag",IF(E137="Yes","Hold",IF(AND(K137&lt;&gt;"",ISNUMBER(L137),M137&lt;&gt;""),"Review recorded",IF(OR(K137&lt;&gt;"",L137&lt;&gt;"",M137&lt;&gt;""),"Complete review details",IF(I137&lt;=TODAY(),"Review due","Retain")))))))))</x:f>
      </x:c>
      <x:c r="K137" s="7"/>
      <x:c r="L137" s="9"/>
      <x:c r="M137" s="7"/>
    </x:row>
    <x:row r="138" ht="25" customHeight="1">
      <x:c r="A138" s="7"/>
      <x:c r="B138" s="7"/>
      <x:c r="C138" s="7"/>
      <x:c r="D138" s="9"/>
      <x:c r="E138" s="7"/>
      <x:c r="F138" s="7"/>
      <x:c r="G138" s="8" t="str">
        <x:f>IF(OR(A138="",COUNTIFS(Retention!$A$6:$A$15,B138)&lt;&gt;1),"",INDEX(Retention!$C$6:$C$15,MATCH(B138,Retention!$A$6:$A$15,0)))</x:f>
      </x:c>
      <x:c r="H138" s="8" t="str">
        <x:f>IF(OR(A138="",COUNTIFS(Retention!$A$6:$A$15,B138)&lt;&gt;1),"",INDEX(Retention!$D$6:$D$15,MATCH(B138,Retention!$A$6:$A$15,0)))</x:f>
      </x:c>
      <x:c r="I138" s="10" t="str">
        <x:f>IF(OR(A138="",NOT(ISNUMBER(D138)),NOT(ISNUMBER(G138))),"",IF(G138&lt;1,"",IF(H138="months",EDATE(D138,G138),IF(H138="days",D138+G138,""))))</x:f>
      </x:c>
      <x:c r="J138" s="8" t="str">
        <x:f>IF(A138="","",IF(COUNTIFS(Retention!$A$6:$A$15,B138)&lt;&gt;1,"Check category",IF(NOT(ISNUMBER(D138)),"Set start date",IF(NOT(ISNUMBER(I138)),"Check rule",IF(AND(E138&lt;&gt;"Yes",E138&lt;&gt;"No"),"Set hold flag",IF(E138="Yes","Hold",IF(AND(K138&lt;&gt;"",ISNUMBER(L138),M138&lt;&gt;""),"Review recorded",IF(OR(K138&lt;&gt;"",L138&lt;&gt;"",M138&lt;&gt;""),"Complete review details",IF(I138&lt;=TODAY(),"Review due","Retain")))))))))</x:f>
      </x:c>
      <x:c r="K138" s="7"/>
      <x:c r="L138" s="9"/>
      <x:c r="M138" s="7"/>
    </x:row>
    <x:row r="139" ht="25" customHeight="1">
      <x:c r="A139" s="7"/>
      <x:c r="B139" s="7"/>
      <x:c r="C139" s="7"/>
      <x:c r="D139" s="9"/>
      <x:c r="E139" s="7"/>
      <x:c r="F139" s="7"/>
      <x:c r="G139" s="8" t="str">
        <x:f>IF(OR(A139="",COUNTIFS(Retention!$A$6:$A$15,B139)&lt;&gt;1),"",INDEX(Retention!$C$6:$C$15,MATCH(B139,Retention!$A$6:$A$15,0)))</x:f>
      </x:c>
      <x:c r="H139" s="8" t="str">
        <x:f>IF(OR(A139="",COUNTIFS(Retention!$A$6:$A$15,B139)&lt;&gt;1),"",INDEX(Retention!$D$6:$D$15,MATCH(B139,Retention!$A$6:$A$15,0)))</x:f>
      </x:c>
      <x:c r="I139" s="10" t="str">
        <x:f>IF(OR(A139="",NOT(ISNUMBER(D139)),NOT(ISNUMBER(G139))),"",IF(G139&lt;1,"",IF(H139="months",EDATE(D139,G139),IF(H139="days",D139+G139,""))))</x:f>
      </x:c>
      <x:c r="J139" s="8" t="str">
        <x:f>IF(A139="","",IF(COUNTIFS(Retention!$A$6:$A$15,B139)&lt;&gt;1,"Check category",IF(NOT(ISNUMBER(D139)),"Set start date",IF(NOT(ISNUMBER(I139)),"Check rule",IF(AND(E139&lt;&gt;"Yes",E139&lt;&gt;"No"),"Set hold flag",IF(E139="Yes","Hold",IF(AND(K139&lt;&gt;"",ISNUMBER(L139),M139&lt;&gt;""),"Review recorded",IF(OR(K139&lt;&gt;"",L139&lt;&gt;"",M139&lt;&gt;""),"Complete review details",IF(I139&lt;=TODAY(),"Review due","Retain")))))))))</x:f>
      </x:c>
      <x:c r="K139" s="7"/>
      <x:c r="L139" s="9"/>
      <x:c r="M139" s="7"/>
    </x:row>
    <x:row r="140" ht="25" customHeight="1">
      <x:c r="A140" s="7"/>
      <x:c r="B140" s="7"/>
      <x:c r="C140" s="7"/>
      <x:c r="D140" s="9"/>
      <x:c r="E140" s="7"/>
      <x:c r="F140" s="7"/>
      <x:c r="G140" s="8" t="str">
        <x:f>IF(OR(A140="",COUNTIFS(Retention!$A$6:$A$15,B140)&lt;&gt;1),"",INDEX(Retention!$C$6:$C$15,MATCH(B140,Retention!$A$6:$A$15,0)))</x:f>
      </x:c>
      <x:c r="H140" s="8" t="str">
        <x:f>IF(OR(A140="",COUNTIFS(Retention!$A$6:$A$15,B140)&lt;&gt;1),"",INDEX(Retention!$D$6:$D$15,MATCH(B140,Retention!$A$6:$A$15,0)))</x:f>
      </x:c>
      <x:c r="I140" s="10" t="str">
        <x:f>IF(OR(A140="",NOT(ISNUMBER(D140)),NOT(ISNUMBER(G140))),"",IF(G140&lt;1,"",IF(H140="months",EDATE(D140,G140),IF(H140="days",D140+G140,""))))</x:f>
      </x:c>
      <x:c r="J140" s="8" t="str">
        <x:f>IF(A140="","",IF(COUNTIFS(Retention!$A$6:$A$15,B140)&lt;&gt;1,"Check category",IF(NOT(ISNUMBER(D140)),"Set start date",IF(NOT(ISNUMBER(I140)),"Check rule",IF(AND(E140&lt;&gt;"Yes",E140&lt;&gt;"No"),"Set hold flag",IF(E140="Yes","Hold",IF(AND(K140&lt;&gt;"",ISNUMBER(L140),M140&lt;&gt;""),"Review recorded",IF(OR(K140&lt;&gt;"",L140&lt;&gt;"",M140&lt;&gt;""),"Complete review details",IF(I140&lt;=TODAY(),"Review due","Retain")))))))))</x:f>
      </x:c>
      <x:c r="K140" s="7"/>
      <x:c r="L140" s="9"/>
      <x:c r="M140" s="7"/>
    </x:row>
    <x:row r="141" ht="25" customHeight="1">
      <x:c r="A141" s="7"/>
      <x:c r="B141" s="7"/>
      <x:c r="C141" s="7"/>
      <x:c r="D141" s="9"/>
      <x:c r="E141" s="7"/>
      <x:c r="F141" s="7"/>
      <x:c r="G141" s="8" t="str">
        <x:f>IF(OR(A141="",COUNTIFS(Retention!$A$6:$A$15,B141)&lt;&gt;1),"",INDEX(Retention!$C$6:$C$15,MATCH(B141,Retention!$A$6:$A$15,0)))</x:f>
      </x:c>
      <x:c r="H141" s="8" t="str">
        <x:f>IF(OR(A141="",COUNTIFS(Retention!$A$6:$A$15,B141)&lt;&gt;1),"",INDEX(Retention!$D$6:$D$15,MATCH(B141,Retention!$A$6:$A$15,0)))</x:f>
      </x:c>
      <x:c r="I141" s="10" t="str">
        <x:f>IF(OR(A141="",NOT(ISNUMBER(D141)),NOT(ISNUMBER(G141))),"",IF(G141&lt;1,"",IF(H141="months",EDATE(D141,G141),IF(H141="days",D141+G141,""))))</x:f>
      </x:c>
      <x:c r="J141" s="8" t="str">
        <x:f>IF(A141="","",IF(COUNTIFS(Retention!$A$6:$A$15,B141)&lt;&gt;1,"Check category",IF(NOT(ISNUMBER(D141)),"Set start date",IF(NOT(ISNUMBER(I141)),"Check rule",IF(AND(E141&lt;&gt;"Yes",E141&lt;&gt;"No"),"Set hold flag",IF(E141="Yes","Hold",IF(AND(K141&lt;&gt;"",ISNUMBER(L141),M141&lt;&gt;""),"Review recorded",IF(OR(K141&lt;&gt;"",L141&lt;&gt;"",M141&lt;&gt;""),"Complete review details",IF(I141&lt;=TODAY(),"Review due","Retain")))))))))</x:f>
      </x:c>
      <x:c r="K141" s="7"/>
      <x:c r="L141" s="9"/>
      <x:c r="M141" s="7"/>
    </x:row>
    <x:row r="142" ht="25" customHeight="1">
      <x:c r="A142" s="7"/>
      <x:c r="B142" s="7"/>
      <x:c r="C142" s="7"/>
      <x:c r="D142" s="9"/>
      <x:c r="E142" s="7"/>
      <x:c r="F142" s="7"/>
      <x:c r="G142" s="8" t="str">
        <x:f>IF(OR(A142="",COUNTIFS(Retention!$A$6:$A$15,B142)&lt;&gt;1),"",INDEX(Retention!$C$6:$C$15,MATCH(B142,Retention!$A$6:$A$15,0)))</x:f>
      </x:c>
      <x:c r="H142" s="8" t="str">
        <x:f>IF(OR(A142="",COUNTIFS(Retention!$A$6:$A$15,B142)&lt;&gt;1),"",INDEX(Retention!$D$6:$D$15,MATCH(B142,Retention!$A$6:$A$15,0)))</x:f>
      </x:c>
      <x:c r="I142" s="10" t="str">
        <x:f>IF(OR(A142="",NOT(ISNUMBER(D142)),NOT(ISNUMBER(G142))),"",IF(G142&lt;1,"",IF(H142="months",EDATE(D142,G142),IF(H142="days",D142+G142,""))))</x:f>
      </x:c>
      <x:c r="J142" s="8" t="str">
        <x:f>IF(A142="","",IF(COUNTIFS(Retention!$A$6:$A$15,B142)&lt;&gt;1,"Check category",IF(NOT(ISNUMBER(D142)),"Set start date",IF(NOT(ISNUMBER(I142)),"Check rule",IF(AND(E142&lt;&gt;"Yes",E142&lt;&gt;"No"),"Set hold flag",IF(E142="Yes","Hold",IF(AND(K142&lt;&gt;"",ISNUMBER(L142),M142&lt;&gt;""),"Review recorded",IF(OR(K142&lt;&gt;"",L142&lt;&gt;"",M142&lt;&gt;""),"Complete review details",IF(I142&lt;=TODAY(),"Review due","Retain")))))))))</x:f>
      </x:c>
      <x:c r="K142" s="7"/>
      <x:c r="L142" s="9"/>
      <x:c r="M142" s="7"/>
    </x:row>
    <x:row r="143" ht="25" customHeight="1">
      <x:c r="A143" s="7"/>
      <x:c r="B143" s="7"/>
      <x:c r="C143" s="7"/>
      <x:c r="D143" s="9"/>
      <x:c r="E143" s="7"/>
      <x:c r="F143" s="7"/>
      <x:c r="G143" s="8" t="str">
        <x:f>IF(OR(A143="",COUNTIFS(Retention!$A$6:$A$15,B143)&lt;&gt;1),"",INDEX(Retention!$C$6:$C$15,MATCH(B143,Retention!$A$6:$A$15,0)))</x:f>
      </x:c>
      <x:c r="H143" s="8" t="str">
        <x:f>IF(OR(A143="",COUNTIFS(Retention!$A$6:$A$15,B143)&lt;&gt;1),"",INDEX(Retention!$D$6:$D$15,MATCH(B143,Retention!$A$6:$A$15,0)))</x:f>
      </x:c>
      <x:c r="I143" s="10" t="str">
        <x:f>IF(OR(A143="",NOT(ISNUMBER(D143)),NOT(ISNUMBER(G143))),"",IF(G143&lt;1,"",IF(H143="months",EDATE(D143,G143),IF(H143="days",D143+G143,""))))</x:f>
      </x:c>
      <x:c r="J143" s="8" t="str">
        <x:f>IF(A143="","",IF(COUNTIFS(Retention!$A$6:$A$15,B143)&lt;&gt;1,"Check category",IF(NOT(ISNUMBER(D143)),"Set start date",IF(NOT(ISNUMBER(I143)),"Check rule",IF(AND(E143&lt;&gt;"Yes",E143&lt;&gt;"No"),"Set hold flag",IF(E143="Yes","Hold",IF(AND(K143&lt;&gt;"",ISNUMBER(L143),M143&lt;&gt;""),"Review recorded",IF(OR(K143&lt;&gt;"",L143&lt;&gt;"",M143&lt;&gt;""),"Complete review details",IF(I143&lt;=TODAY(),"Review due","Retain")))))))))</x:f>
      </x:c>
      <x:c r="K143" s="7"/>
      <x:c r="L143" s="9"/>
      <x:c r="M143" s="7"/>
    </x:row>
    <x:row r="144" ht="25" customHeight="1">
      <x:c r="A144" s="7"/>
      <x:c r="B144" s="7"/>
      <x:c r="C144" s="7"/>
      <x:c r="D144" s="9"/>
      <x:c r="E144" s="7"/>
      <x:c r="F144" s="7"/>
      <x:c r="G144" s="8" t="str">
        <x:f>IF(OR(A144="",COUNTIFS(Retention!$A$6:$A$15,B144)&lt;&gt;1),"",INDEX(Retention!$C$6:$C$15,MATCH(B144,Retention!$A$6:$A$15,0)))</x:f>
      </x:c>
      <x:c r="H144" s="8" t="str">
        <x:f>IF(OR(A144="",COUNTIFS(Retention!$A$6:$A$15,B144)&lt;&gt;1),"",INDEX(Retention!$D$6:$D$15,MATCH(B144,Retention!$A$6:$A$15,0)))</x:f>
      </x:c>
      <x:c r="I144" s="10" t="str">
        <x:f>IF(OR(A144="",NOT(ISNUMBER(D144)),NOT(ISNUMBER(G144))),"",IF(G144&lt;1,"",IF(H144="months",EDATE(D144,G144),IF(H144="days",D144+G144,""))))</x:f>
      </x:c>
      <x:c r="J144" s="8" t="str">
        <x:f>IF(A144="","",IF(COUNTIFS(Retention!$A$6:$A$15,B144)&lt;&gt;1,"Check category",IF(NOT(ISNUMBER(D144)),"Set start date",IF(NOT(ISNUMBER(I144)),"Check rule",IF(AND(E144&lt;&gt;"Yes",E144&lt;&gt;"No"),"Set hold flag",IF(E144="Yes","Hold",IF(AND(K144&lt;&gt;"",ISNUMBER(L144),M144&lt;&gt;""),"Review recorded",IF(OR(K144&lt;&gt;"",L144&lt;&gt;"",M144&lt;&gt;""),"Complete review details",IF(I144&lt;=TODAY(),"Review due","Retain")))))))))</x:f>
      </x:c>
      <x:c r="K144" s="7"/>
      <x:c r="L144" s="9"/>
      <x:c r="M144" s="7"/>
    </x:row>
    <x:row r="145" ht="25" customHeight="1">
      <x:c r="A145" s="7"/>
      <x:c r="B145" s="7"/>
      <x:c r="C145" s="7"/>
      <x:c r="D145" s="9"/>
      <x:c r="E145" s="7"/>
      <x:c r="F145" s="7"/>
      <x:c r="G145" s="8" t="str">
        <x:f>IF(OR(A145="",COUNTIFS(Retention!$A$6:$A$15,B145)&lt;&gt;1),"",INDEX(Retention!$C$6:$C$15,MATCH(B145,Retention!$A$6:$A$15,0)))</x:f>
      </x:c>
      <x:c r="H145" s="8" t="str">
        <x:f>IF(OR(A145="",COUNTIFS(Retention!$A$6:$A$15,B145)&lt;&gt;1),"",INDEX(Retention!$D$6:$D$15,MATCH(B145,Retention!$A$6:$A$15,0)))</x:f>
      </x:c>
      <x:c r="I145" s="10" t="str">
        <x:f>IF(OR(A145="",NOT(ISNUMBER(D145)),NOT(ISNUMBER(G145))),"",IF(G145&lt;1,"",IF(H145="months",EDATE(D145,G145),IF(H145="days",D145+G145,""))))</x:f>
      </x:c>
      <x:c r="J145" s="8" t="str">
        <x:f>IF(A145="","",IF(COUNTIFS(Retention!$A$6:$A$15,B145)&lt;&gt;1,"Check category",IF(NOT(ISNUMBER(D145)),"Set start date",IF(NOT(ISNUMBER(I145)),"Check rule",IF(AND(E145&lt;&gt;"Yes",E145&lt;&gt;"No"),"Set hold flag",IF(E145="Yes","Hold",IF(AND(K145&lt;&gt;"",ISNUMBER(L145),M145&lt;&gt;""),"Review recorded",IF(OR(K145&lt;&gt;"",L145&lt;&gt;"",M145&lt;&gt;""),"Complete review details",IF(I145&lt;=TODAY(),"Review due","Retain")))))))))</x:f>
      </x:c>
      <x:c r="K145" s="7"/>
      <x:c r="L145" s="9"/>
      <x:c r="M145" s="7"/>
    </x:row>
    <x:row r="146" ht="25" customHeight="1">
      <x:c r="A146" s="7"/>
      <x:c r="B146" s="7"/>
      <x:c r="C146" s="7"/>
      <x:c r="D146" s="9"/>
      <x:c r="E146" s="7"/>
      <x:c r="F146" s="7"/>
      <x:c r="G146" s="8" t="str">
        <x:f>IF(OR(A146="",COUNTIFS(Retention!$A$6:$A$15,B146)&lt;&gt;1),"",INDEX(Retention!$C$6:$C$15,MATCH(B146,Retention!$A$6:$A$15,0)))</x:f>
      </x:c>
      <x:c r="H146" s="8" t="str">
        <x:f>IF(OR(A146="",COUNTIFS(Retention!$A$6:$A$15,B146)&lt;&gt;1),"",INDEX(Retention!$D$6:$D$15,MATCH(B146,Retention!$A$6:$A$15,0)))</x:f>
      </x:c>
      <x:c r="I146" s="10" t="str">
        <x:f>IF(OR(A146="",NOT(ISNUMBER(D146)),NOT(ISNUMBER(G146))),"",IF(G146&lt;1,"",IF(H146="months",EDATE(D146,G146),IF(H146="days",D146+G146,""))))</x:f>
      </x:c>
      <x:c r="J146" s="8" t="str">
        <x:f>IF(A146="","",IF(COUNTIFS(Retention!$A$6:$A$15,B146)&lt;&gt;1,"Check category",IF(NOT(ISNUMBER(D146)),"Set start date",IF(NOT(ISNUMBER(I146)),"Check rule",IF(AND(E146&lt;&gt;"Yes",E146&lt;&gt;"No"),"Set hold flag",IF(E146="Yes","Hold",IF(AND(K146&lt;&gt;"",ISNUMBER(L146),M146&lt;&gt;""),"Review recorded",IF(OR(K146&lt;&gt;"",L146&lt;&gt;"",M146&lt;&gt;""),"Complete review details",IF(I146&lt;=TODAY(),"Review due","Retain")))))))))</x:f>
      </x:c>
      <x:c r="K146" s="7"/>
      <x:c r="L146" s="9"/>
      <x:c r="M146" s="7"/>
    </x:row>
    <x:row r="147" ht="25" customHeight="1">
      <x:c r="A147" s="7"/>
      <x:c r="B147" s="7"/>
      <x:c r="C147" s="7"/>
      <x:c r="D147" s="9"/>
      <x:c r="E147" s="7"/>
      <x:c r="F147" s="7"/>
      <x:c r="G147" s="8" t="str">
        <x:f>IF(OR(A147="",COUNTIFS(Retention!$A$6:$A$15,B147)&lt;&gt;1),"",INDEX(Retention!$C$6:$C$15,MATCH(B147,Retention!$A$6:$A$15,0)))</x:f>
      </x:c>
      <x:c r="H147" s="8" t="str">
        <x:f>IF(OR(A147="",COUNTIFS(Retention!$A$6:$A$15,B147)&lt;&gt;1),"",INDEX(Retention!$D$6:$D$15,MATCH(B147,Retention!$A$6:$A$15,0)))</x:f>
      </x:c>
      <x:c r="I147" s="10" t="str">
        <x:f>IF(OR(A147="",NOT(ISNUMBER(D147)),NOT(ISNUMBER(G147))),"",IF(G147&lt;1,"",IF(H147="months",EDATE(D147,G147),IF(H147="days",D147+G147,""))))</x:f>
      </x:c>
      <x:c r="J147" s="8" t="str">
        <x:f>IF(A147="","",IF(COUNTIFS(Retention!$A$6:$A$15,B147)&lt;&gt;1,"Check category",IF(NOT(ISNUMBER(D147)),"Set start date",IF(NOT(ISNUMBER(I147)),"Check rule",IF(AND(E147&lt;&gt;"Yes",E147&lt;&gt;"No"),"Set hold flag",IF(E147="Yes","Hold",IF(AND(K147&lt;&gt;"",ISNUMBER(L147),M147&lt;&gt;""),"Review recorded",IF(OR(K147&lt;&gt;"",L147&lt;&gt;"",M147&lt;&gt;""),"Complete review details",IF(I147&lt;=TODAY(),"Review due","Retain")))))))))</x:f>
      </x:c>
      <x:c r="K147" s="7"/>
      <x:c r="L147" s="9"/>
      <x:c r="M147" s="7"/>
    </x:row>
    <x:row r="148" ht="25" customHeight="1">
      <x:c r="A148" s="7"/>
      <x:c r="B148" s="7"/>
      <x:c r="C148" s="7"/>
      <x:c r="D148" s="9"/>
      <x:c r="E148" s="7"/>
      <x:c r="F148" s="7"/>
      <x:c r="G148" s="8" t="str">
        <x:f>IF(OR(A148="",COUNTIFS(Retention!$A$6:$A$15,B148)&lt;&gt;1),"",INDEX(Retention!$C$6:$C$15,MATCH(B148,Retention!$A$6:$A$15,0)))</x:f>
      </x:c>
      <x:c r="H148" s="8" t="str">
        <x:f>IF(OR(A148="",COUNTIFS(Retention!$A$6:$A$15,B148)&lt;&gt;1),"",INDEX(Retention!$D$6:$D$15,MATCH(B148,Retention!$A$6:$A$15,0)))</x:f>
      </x:c>
      <x:c r="I148" s="10" t="str">
        <x:f>IF(OR(A148="",NOT(ISNUMBER(D148)),NOT(ISNUMBER(G148))),"",IF(G148&lt;1,"",IF(H148="months",EDATE(D148,G148),IF(H148="days",D148+G148,""))))</x:f>
      </x:c>
      <x:c r="J148" s="8" t="str">
        <x:f>IF(A148="","",IF(COUNTIFS(Retention!$A$6:$A$15,B148)&lt;&gt;1,"Check category",IF(NOT(ISNUMBER(D148)),"Set start date",IF(NOT(ISNUMBER(I148)),"Check rule",IF(AND(E148&lt;&gt;"Yes",E148&lt;&gt;"No"),"Set hold flag",IF(E148="Yes","Hold",IF(AND(K148&lt;&gt;"",ISNUMBER(L148),M148&lt;&gt;""),"Review recorded",IF(OR(K148&lt;&gt;"",L148&lt;&gt;"",M148&lt;&gt;""),"Complete review details",IF(I148&lt;=TODAY(),"Review due","Retain")))))))))</x:f>
      </x:c>
      <x:c r="K148" s="7"/>
      <x:c r="L148" s="9"/>
      <x:c r="M148" s="7"/>
    </x:row>
    <x:row r="149" ht="25" customHeight="1">
      <x:c r="A149" s="7"/>
      <x:c r="B149" s="7"/>
      <x:c r="C149" s="7"/>
      <x:c r="D149" s="9"/>
      <x:c r="E149" s="7"/>
      <x:c r="F149" s="7"/>
      <x:c r="G149" s="8" t="str">
        <x:f>IF(OR(A149="",COUNTIFS(Retention!$A$6:$A$15,B149)&lt;&gt;1),"",INDEX(Retention!$C$6:$C$15,MATCH(B149,Retention!$A$6:$A$15,0)))</x:f>
      </x:c>
      <x:c r="H149" s="8" t="str">
        <x:f>IF(OR(A149="",COUNTIFS(Retention!$A$6:$A$15,B149)&lt;&gt;1),"",INDEX(Retention!$D$6:$D$15,MATCH(B149,Retention!$A$6:$A$15,0)))</x:f>
      </x:c>
      <x:c r="I149" s="10" t="str">
        <x:f>IF(OR(A149="",NOT(ISNUMBER(D149)),NOT(ISNUMBER(G149))),"",IF(G149&lt;1,"",IF(H149="months",EDATE(D149,G149),IF(H149="days",D149+G149,""))))</x:f>
      </x:c>
      <x:c r="J149" s="8" t="str">
        <x:f>IF(A149="","",IF(COUNTIFS(Retention!$A$6:$A$15,B149)&lt;&gt;1,"Check category",IF(NOT(ISNUMBER(D149)),"Set start date",IF(NOT(ISNUMBER(I149)),"Check rule",IF(AND(E149&lt;&gt;"Yes",E149&lt;&gt;"No"),"Set hold flag",IF(E149="Yes","Hold",IF(AND(K149&lt;&gt;"",ISNUMBER(L149),M149&lt;&gt;""),"Review recorded",IF(OR(K149&lt;&gt;"",L149&lt;&gt;"",M149&lt;&gt;""),"Complete review details",IF(I149&lt;=TODAY(),"Review due","Retain")))))))))</x:f>
      </x:c>
      <x:c r="K149" s="7"/>
      <x:c r="L149" s="9"/>
      <x:c r="M149" s="7"/>
    </x:row>
    <x:row r="150" ht="25" customHeight="1">
      <x:c r="A150" s="7"/>
      <x:c r="B150" s="7"/>
      <x:c r="C150" s="7"/>
      <x:c r="D150" s="9"/>
      <x:c r="E150" s="7"/>
      <x:c r="F150" s="7"/>
      <x:c r="G150" s="8" t="str">
        <x:f>IF(OR(A150="",COUNTIFS(Retention!$A$6:$A$15,B150)&lt;&gt;1),"",INDEX(Retention!$C$6:$C$15,MATCH(B150,Retention!$A$6:$A$15,0)))</x:f>
      </x:c>
      <x:c r="H150" s="8" t="str">
        <x:f>IF(OR(A150="",COUNTIFS(Retention!$A$6:$A$15,B150)&lt;&gt;1),"",INDEX(Retention!$D$6:$D$15,MATCH(B150,Retention!$A$6:$A$15,0)))</x:f>
      </x:c>
      <x:c r="I150" s="10" t="str">
        <x:f>IF(OR(A150="",NOT(ISNUMBER(D150)),NOT(ISNUMBER(G150))),"",IF(G150&lt;1,"",IF(H150="months",EDATE(D150,G150),IF(H150="days",D150+G150,""))))</x:f>
      </x:c>
      <x:c r="J150" s="8" t="str">
        <x:f>IF(A150="","",IF(COUNTIFS(Retention!$A$6:$A$15,B150)&lt;&gt;1,"Check category",IF(NOT(ISNUMBER(D150)),"Set start date",IF(NOT(ISNUMBER(I150)),"Check rule",IF(AND(E150&lt;&gt;"Yes",E150&lt;&gt;"No"),"Set hold flag",IF(E150="Yes","Hold",IF(AND(K150&lt;&gt;"",ISNUMBER(L150),M150&lt;&gt;""),"Review recorded",IF(OR(K150&lt;&gt;"",L150&lt;&gt;"",M150&lt;&gt;""),"Complete review details",IF(I150&lt;=TODAY(),"Review due","Retain")))))))))</x:f>
      </x:c>
      <x:c r="K150" s="7"/>
      <x:c r="L150" s="9"/>
      <x:c r="M150" s="7"/>
    </x:row>
    <x:row r="151" ht="25" customHeight="1">
      <x:c r="A151" s="7"/>
      <x:c r="B151" s="7"/>
      <x:c r="C151" s="7"/>
      <x:c r="D151" s="9"/>
      <x:c r="E151" s="7"/>
      <x:c r="F151" s="7"/>
      <x:c r="G151" s="8" t="str">
        <x:f>IF(OR(A151="",COUNTIFS(Retention!$A$6:$A$15,B151)&lt;&gt;1),"",INDEX(Retention!$C$6:$C$15,MATCH(B151,Retention!$A$6:$A$15,0)))</x:f>
      </x:c>
      <x:c r="H151" s="8" t="str">
        <x:f>IF(OR(A151="",COUNTIFS(Retention!$A$6:$A$15,B151)&lt;&gt;1),"",INDEX(Retention!$D$6:$D$15,MATCH(B151,Retention!$A$6:$A$15,0)))</x:f>
      </x:c>
      <x:c r="I151" s="10" t="str">
        <x:f>IF(OR(A151="",NOT(ISNUMBER(D151)),NOT(ISNUMBER(G151))),"",IF(G151&lt;1,"",IF(H151="months",EDATE(D151,G151),IF(H151="days",D151+G151,""))))</x:f>
      </x:c>
      <x:c r="J151" s="8" t="str">
        <x:f>IF(A151="","",IF(COUNTIFS(Retention!$A$6:$A$15,B151)&lt;&gt;1,"Check category",IF(NOT(ISNUMBER(D151)),"Set start date",IF(NOT(ISNUMBER(I151)),"Check rule",IF(AND(E151&lt;&gt;"Yes",E151&lt;&gt;"No"),"Set hold flag",IF(E151="Yes","Hold",IF(AND(K151&lt;&gt;"",ISNUMBER(L151),M151&lt;&gt;""),"Review recorded",IF(OR(K151&lt;&gt;"",L151&lt;&gt;"",M151&lt;&gt;""),"Complete review details",IF(I151&lt;=TODAY(),"Review due","Retain")))))))))</x:f>
      </x:c>
      <x:c r="K151" s="7"/>
      <x:c r="L151" s="9"/>
      <x:c r="M151" s="7"/>
    </x:row>
    <x:row r="152" ht="25" customHeight="1">
      <x:c r="A152" s="7"/>
      <x:c r="B152" s="7"/>
      <x:c r="C152" s="7"/>
      <x:c r="D152" s="9"/>
      <x:c r="E152" s="7"/>
      <x:c r="F152" s="7"/>
      <x:c r="G152" s="8" t="str">
        <x:f>IF(OR(A152="",COUNTIFS(Retention!$A$6:$A$15,B152)&lt;&gt;1),"",INDEX(Retention!$C$6:$C$15,MATCH(B152,Retention!$A$6:$A$15,0)))</x:f>
      </x:c>
      <x:c r="H152" s="8" t="str">
        <x:f>IF(OR(A152="",COUNTIFS(Retention!$A$6:$A$15,B152)&lt;&gt;1),"",INDEX(Retention!$D$6:$D$15,MATCH(B152,Retention!$A$6:$A$15,0)))</x:f>
      </x:c>
      <x:c r="I152" s="10" t="str">
        <x:f>IF(OR(A152="",NOT(ISNUMBER(D152)),NOT(ISNUMBER(G152))),"",IF(G152&lt;1,"",IF(H152="months",EDATE(D152,G152),IF(H152="days",D152+G152,""))))</x:f>
      </x:c>
      <x:c r="J152" s="8" t="str">
        <x:f>IF(A152="","",IF(COUNTIFS(Retention!$A$6:$A$15,B152)&lt;&gt;1,"Check category",IF(NOT(ISNUMBER(D152)),"Set start date",IF(NOT(ISNUMBER(I152)),"Check rule",IF(AND(E152&lt;&gt;"Yes",E152&lt;&gt;"No"),"Set hold flag",IF(E152="Yes","Hold",IF(AND(K152&lt;&gt;"",ISNUMBER(L152),M152&lt;&gt;""),"Review recorded",IF(OR(K152&lt;&gt;"",L152&lt;&gt;"",M152&lt;&gt;""),"Complete review details",IF(I152&lt;=TODAY(),"Review due","Retain")))))))))</x:f>
      </x:c>
      <x:c r="K152" s="7"/>
      <x:c r="L152" s="9"/>
      <x:c r="M152" s="7"/>
    </x:row>
    <x:row r="153" ht="25" customHeight="1">
      <x:c r="A153" s="7"/>
      <x:c r="B153" s="7"/>
      <x:c r="C153" s="7"/>
      <x:c r="D153" s="9"/>
      <x:c r="E153" s="7"/>
      <x:c r="F153" s="7"/>
      <x:c r="G153" s="8" t="str">
        <x:f>IF(OR(A153="",COUNTIFS(Retention!$A$6:$A$15,B153)&lt;&gt;1),"",INDEX(Retention!$C$6:$C$15,MATCH(B153,Retention!$A$6:$A$15,0)))</x:f>
      </x:c>
      <x:c r="H153" s="8" t="str">
        <x:f>IF(OR(A153="",COUNTIFS(Retention!$A$6:$A$15,B153)&lt;&gt;1),"",INDEX(Retention!$D$6:$D$15,MATCH(B153,Retention!$A$6:$A$15,0)))</x:f>
      </x:c>
      <x:c r="I153" s="10" t="str">
        <x:f>IF(OR(A153="",NOT(ISNUMBER(D153)),NOT(ISNUMBER(G153))),"",IF(G153&lt;1,"",IF(H153="months",EDATE(D153,G153),IF(H153="days",D153+G153,""))))</x:f>
      </x:c>
      <x:c r="J153" s="8" t="str">
        <x:f>IF(A153="","",IF(COUNTIFS(Retention!$A$6:$A$15,B153)&lt;&gt;1,"Check category",IF(NOT(ISNUMBER(D153)),"Set start date",IF(NOT(ISNUMBER(I153)),"Check rule",IF(AND(E153&lt;&gt;"Yes",E153&lt;&gt;"No"),"Set hold flag",IF(E153="Yes","Hold",IF(AND(K153&lt;&gt;"",ISNUMBER(L153),M153&lt;&gt;""),"Review recorded",IF(OR(K153&lt;&gt;"",L153&lt;&gt;"",M153&lt;&gt;""),"Complete review details",IF(I153&lt;=TODAY(),"Review due","Retain")))))))))</x:f>
      </x:c>
      <x:c r="K153" s="7"/>
      <x:c r="L153" s="9"/>
      <x:c r="M153" s="7"/>
    </x:row>
    <x:row r="154" ht="25" customHeight="1">
      <x:c r="A154" s="7"/>
      <x:c r="B154" s="7"/>
      <x:c r="C154" s="7"/>
      <x:c r="D154" s="9"/>
      <x:c r="E154" s="7"/>
      <x:c r="F154" s="7"/>
      <x:c r="G154" s="8" t="str">
        <x:f>IF(OR(A154="",COUNTIFS(Retention!$A$6:$A$15,B154)&lt;&gt;1),"",INDEX(Retention!$C$6:$C$15,MATCH(B154,Retention!$A$6:$A$15,0)))</x:f>
      </x:c>
      <x:c r="H154" s="8" t="str">
        <x:f>IF(OR(A154="",COUNTIFS(Retention!$A$6:$A$15,B154)&lt;&gt;1),"",INDEX(Retention!$D$6:$D$15,MATCH(B154,Retention!$A$6:$A$15,0)))</x:f>
      </x:c>
      <x:c r="I154" s="10" t="str">
        <x:f>IF(OR(A154="",NOT(ISNUMBER(D154)),NOT(ISNUMBER(G154))),"",IF(G154&lt;1,"",IF(H154="months",EDATE(D154,G154),IF(H154="days",D154+G154,""))))</x:f>
      </x:c>
      <x:c r="J154" s="8" t="str">
        <x:f>IF(A154="","",IF(COUNTIFS(Retention!$A$6:$A$15,B154)&lt;&gt;1,"Check category",IF(NOT(ISNUMBER(D154)),"Set start date",IF(NOT(ISNUMBER(I154)),"Check rule",IF(AND(E154&lt;&gt;"Yes",E154&lt;&gt;"No"),"Set hold flag",IF(E154="Yes","Hold",IF(AND(K154&lt;&gt;"",ISNUMBER(L154),M154&lt;&gt;""),"Review recorded",IF(OR(K154&lt;&gt;"",L154&lt;&gt;"",M154&lt;&gt;""),"Complete review details",IF(I154&lt;=TODAY(),"Review due","Retain")))))))))</x:f>
      </x:c>
      <x:c r="K154" s="7"/>
      <x:c r="L154" s="9"/>
      <x:c r="M154" s="7"/>
    </x:row>
    <x:row r="155" ht="25" customHeight="1">
      <x:c r="A155" s="7"/>
      <x:c r="B155" s="7"/>
      <x:c r="C155" s="7"/>
      <x:c r="D155" s="9"/>
      <x:c r="E155" s="7"/>
      <x:c r="F155" s="7"/>
      <x:c r="G155" s="8" t="str">
        <x:f>IF(OR(A155="",COUNTIFS(Retention!$A$6:$A$15,B155)&lt;&gt;1),"",INDEX(Retention!$C$6:$C$15,MATCH(B155,Retention!$A$6:$A$15,0)))</x:f>
      </x:c>
      <x:c r="H155" s="8" t="str">
        <x:f>IF(OR(A155="",COUNTIFS(Retention!$A$6:$A$15,B155)&lt;&gt;1),"",INDEX(Retention!$D$6:$D$15,MATCH(B155,Retention!$A$6:$A$15,0)))</x:f>
      </x:c>
      <x:c r="I155" s="10" t="str">
        <x:f>IF(OR(A155="",NOT(ISNUMBER(D155)),NOT(ISNUMBER(G155))),"",IF(G155&lt;1,"",IF(H155="months",EDATE(D155,G155),IF(H155="days",D155+G155,""))))</x:f>
      </x:c>
      <x:c r="J155" s="8" t="str">
        <x:f>IF(A155="","",IF(COUNTIFS(Retention!$A$6:$A$15,B155)&lt;&gt;1,"Check category",IF(NOT(ISNUMBER(D155)),"Set start date",IF(NOT(ISNUMBER(I155)),"Check rule",IF(AND(E155&lt;&gt;"Yes",E155&lt;&gt;"No"),"Set hold flag",IF(E155="Yes","Hold",IF(AND(K155&lt;&gt;"",ISNUMBER(L155),M155&lt;&gt;""),"Review recorded",IF(OR(K155&lt;&gt;"",L155&lt;&gt;"",M155&lt;&gt;""),"Complete review details",IF(I155&lt;=TODAY(),"Review due","Retain")))))))))</x:f>
      </x:c>
      <x:c r="K155" s="7"/>
      <x:c r="L155" s="9"/>
      <x:c r="M155" s="7"/>
    </x:row>
    <x:row r="156" ht="25" customHeight="1">
      <x:c r="A156" s="7"/>
      <x:c r="B156" s="7"/>
      <x:c r="C156" s="7"/>
      <x:c r="D156" s="9"/>
      <x:c r="E156" s="7"/>
      <x:c r="F156" s="7"/>
      <x:c r="G156" s="8" t="str">
        <x:f>IF(OR(A156="",COUNTIFS(Retention!$A$6:$A$15,B156)&lt;&gt;1),"",INDEX(Retention!$C$6:$C$15,MATCH(B156,Retention!$A$6:$A$15,0)))</x:f>
      </x:c>
      <x:c r="H156" s="8" t="str">
        <x:f>IF(OR(A156="",COUNTIFS(Retention!$A$6:$A$15,B156)&lt;&gt;1),"",INDEX(Retention!$D$6:$D$15,MATCH(B156,Retention!$A$6:$A$15,0)))</x:f>
      </x:c>
      <x:c r="I156" s="10" t="str">
        <x:f>IF(OR(A156="",NOT(ISNUMBER(D156)),NOT(ISNUMBER(G156))),"",IF(G156&lt;1,"",IF(H156="months",EDATE(D156,G156),IF(H156="days",D156+G156,""))))</x:f>
      </x:c>
      <x:c r="J156" s="8" t="str">
        <x:f>IF(A156="","",IF(COUNTIFS(Retention!$A$6:$A$15,B156)&lt;&gt;1,"Check category",IF(NOT(ISNUMBER(D156)),"Set start date",IF(NOT(ISNUMBER(I156)),"Check rule",IF(AND(E156&lt;&gt;"Yes",E156&lt;&gt;"No"),"Set hold flag",IF(E156="Yes","Hold",IF(AND(K156&lt;&gt;"",ISNUMBER(L156),M156&lt;&gt;""),"Review recorded",IF(OR(K156&lt;&gt;"",L156&lt;&gt;"",M156&lt;&gt;""),"Complete review details",IF(I156&lt;=TODAY(),"Review due","Retain")))))))))</x:f>
      </x:c>
      <x:c r="K156" s="7"/>
      <x:c r="L156" s="9"/>
      <x:c r="M156" s="7"/>
    </x:row>
    <x:row r="157" ht="25" customHeight="1">
      <x:c r="A157" s="7"/>
      <x:c r="B157" s="7"/>
      <x:c r="C157" s="7"/>
      <x:c r="D157" s="9"/>
      <x:c r="E157" s="7"/>
      <x:c r="F157" s="7"/>
      <x:c r="G157" s="8" t="str">
        <x:f>IF(OR(A157="",COUNTIFS(Retention!$A$6:$A$15,B157)&lt;&gt;1),"",INDEX(Retention!$C$6:$C$15,MATCH(B157,Retention!$A$6:$A$15,0)))</x:f>
      </x:c>
      <x:c r="H157" s="8" t="str">
        <x:f>IF(OR(A157="",COUNTIFS(Retention!$A$6:$A$15,B157)&lt;&gt;1),"",INDEX(Retention!$D$6:$D$15,MATCH(B157,Retention!$A$6:$A$15,0)))</x:f>
      </x:c>
      <x:c r="I157" s="10" t="str">
        <x:f>IF(OR(A157="",NOT(ISNUMBER(D157)),NOT(ISNUMBER(G157))),"",IF(G157&lt;1,"",IF(H157="months",EDATE(D157,G157),IF(H157="days",D157+G157,""))))</x:f>
      </x:c>
      <x:c r="J157" s="8" t="str">
        <x:f>IF(A157="","",IF(COUNTIFS(Retention!$A$6:$A$15,B157)&lt;&gt;1,"Check category",IF(NOT(ISNUMBER(D157)),"Set start date",IF(NOT(ISNUMBER(I157)),"Check rule",IF(AND(E157&lt;&gt;"Yes",E157&lt;&gt;"No"),"Set hold flag",IF(E157="Yes","Hold",IF(AND(K157&lt;&gt;"",ISNUMBER(L157),M157&lt;&gt;""),"Review recorded",IF(OR(K157&lt;&gt;"",L157&lt;&gt;"",M157&lt;&gt;""),"Complete review details",IF(I157&lt;=TODAY(),"Review due","Retain")))))))))</x:f>
      </x:c>
      <x:c r="K157" s="7"/>
      <x:c r="L157" s="9"/>
      <x:c r="M157" s="7"/>
    </x:row>
    <x:row r="158" ht="25" customHeight="1">
      <x:c r="A158" s="7"/>
      <x:c r="B158" s="7"/>
      <x:c r="C158" s="7"/>
      <x:c r="D158" s="9"/>
      <x:c r="E158" s="7"/>
      <x:c r="F158" s="7"/>
      <x:c r="G158" s="8" t="str">
        <x:f>IF(OR(A158="",COUNTIFS(Retention!$A$6:$A$15,B158)&lt;&gt;1),"",INDEX(Retention!$C$6:$C$15,MATCH(B158,Retention!$A$6:$A$15,0)))</x:f>
      </x:c>
      <x:c r="H158" s="8" t="str">
        <x:f>IF(OR(A158="",COUNTIFS(Retention!$A$6:$A$15,B158)&lt;&gt;1),"",INDEX(Retention!$D$6:$D$15,MATCH(B158,Retention!$A$6:$A$15,0)))</x:f>
      </x:c>
      <x:c r="I158" s="10" t="str">
        <x:f>IF(OR(A158="",NOT(ISNUMBER(D158)),NOT(ISNUMBER(G158))),"",IF(G158&lt;1,"",IF(H158="months",EDATE(D158,G158),IF(H158="days",D158+G158,""))))</x:f>
      </x:c>
      <x:c r="J158" s="8" t="str">
        <x:f>IF(A158="","",IF(COUNTIFS(Retention!$A$6:$A$15,B158)&lt;&gt;1,"Check category",IF(NOT(ISNUMBER(D158)),"Set start date",IF(NOT(ISNUMBER(I158)),"Check rule",IF(AND(E158&lt;&gt;"Yes",E158&lt;&gt;"No"),"Set hold flag",IF(E158="Yes","Hold",IF(AND(K158&lt;&gt;"",ISNUMBER(L158),M158&lt;&gt;""),"Review recorded",IF(OR(K158&lt;&gt;"",L158&lt;&gt;"",M158&lt;&gt;""),"Complete review details",IF(I158&lt;=TODAY(),"Review due","Retain")))))))))</x:f>
      </x:c>
      <x:c r="K158" s="7"/>
      <x:c r="L158" s="9"/>
      <x:c r="M158" s="7"/>
    </x:row>
    <x:row r="159" ht="25" customHeight="1">
      <x:c r="A159" s="7"/>
      <x:c r="B159" s="7"/>
      <x:c r="C159" s="7"/>
      <x:c r="D159" s="9"/>
      <x:c r="E159" s="7"/>
      <x:c r="F159" s="7"/>
      <x:c r="G159" s="8" t="str">
        <x:f>IF(OR(A159="",COUNTIFS(Retention!$A$6:$A$15,B159)&lt;&gt;1),"",INDEX(Retention!$C$6:$C$15,MATCH(B159,Retention!$A$6:$A$15,0)))</x:f>
      </x:c>
      <x:c r="H159" s="8" t="str">
        <x:f>IF(OR(A159="",COUNTIFS(Retention!$A$6:$A$15,B159)&lt;&gt;1),"",INDEX(Retention!$D$6:$D$15,MATCH(B159,Retention!$A$6:$A$15,0)))</x:f>
      </x:c>
      <x:c r="I159" s="10" t="str">
        <x:f>IF(OR(A159="",NOT(ISNUMBER(D159)),NOT(ISNUMBER(G159))),"",IF(G159&lt;1,"",IF(H159="months",EDATE(D159,G159),IF(H159="days",D159+G159,""))))</x:f>
      </x:c>
      <x:c r="J159" s="8" t="str">
        <x:f>IF(A159="","",IF(COUNTIFS(Retention!$A$6:$A$15,B159)&lt;&gt;1,"Check category",IF(NOT(ISNUMBER(D159)),"Set start date",IF(NOT(ISNUMBER(I159)),"Check rule",IF(AND(E159&lt;&gt;"Yes",E159&lt;&gt;"No"),"Set hold flag",IF(E159="Yes","Hold",IF(AND(K159&lt;&gt;"",ISNUMBER(L159),M159&lt;&gt;""),"Review recorded",IF(OR(K159&lt;&gt;"",L159&lt;&gt;"",M159&lt;&gt;""),"Complete review details",IF(I159&lt;=TODAY(),"Review due","Retain")))))))))</x:f>
      </x:c>
      <x:c r="K159" s="7"/>
      <x:c r="L159" s="9"/>
      <x:c r="M159" s="7"/>
    </x:row>
    <x:row r="160" ht="25" customHeight="1">
      <x:c r="A160" s="7"/>
      <x:c r="B160" s="7"/>
      <x:c r="C160" s="7"/>
      <x:c r="D160" s="9"/>
      <x:c r="E160" s="7"/>
      <x:c r="F160" s="7"/>
      <x:c r="G160" s="8" t="str">
        <x:f>IF(OR(A160="",COUNTIFS(Retention!$A$6:$A$15,B160)&lt;&gt;1),"",INDEX(Retention!$C$6:$C$15,MATCH(B160,Retention!$A$6:$A$15,0)))</x:f>
      </x:c>
      <x:c r="H160" s="8" t="str">
        <x:f>IF(OR(A160="",COUNTIFS(Retention!$A$6:$A$15,B160)&lt;&gt;1),"",INDEX(Retention!$D$6:$D$15,MATCH(B160,Retention!$A$6:$A$15,0)))</x:f>
      </x:c>
      <x:c r="I160" s="10" t="str">
        <x:f>IF(OR(A160="",NOT(ISNUMBER(D160)),NOT(ISNUMBER(G160))),"",IF(G160&lt;1,"",IF(H160="months",EDATE(D160,G160),IF(H160="days",D160+G160,""))))</x:f>
      </x:c>
      <x:c r="J160" s="8" t="str">
        <x:f>IF(A160="","",IF(COUNTIFS(Retention!$A$6:$A$15,B160)&lt;&gt;1,"Check category",IF(NOT(ISNUMBER(D160)),"Set start date",IF(NOT(ISNUMBER(I160)),"Check rule",IF(AND(E160&lt;&gt;"Yes",E160&lt;&gt;"No"),"Set hold flag",IF(E160="Yes","Hold",IF(AND(K160&lt;&gt;"",ISNUMBER(L160),M160&lt;&gt;""),"Review recorded",IF(OR(K160&lt;&gt;"",L160&lt;&gt;"",M160&lt;&gt;""),"Complete review details",IF(I160&lt;=TODAY(),"Review due","Retain")))))))))</x:f>
      </x:c>
      <x:c r="K160" s="7"/>
      <x:c r="L160" s="9"/>
      <x:c r="M160" s="7"/>
    </x:row>
    <x:row r="161" ht="25" customHeight="1">
      <x:c r="A161" s="7"/>
      <x:c r="B161" s="7"/>
      <x:c r="C161" s="7"/>
      <x:c r="D161" s="9"/>
      <x:c r="E161" s="7"/>
      <x:c r="F161" s="7"/>
      <x:c r="G161" s="8" t="str">
        <x:f>IF(OR(A161="",COUNTIFS(Retention!$A$6:$A$15,B161)&lt;&gt;1),"",INDEX(Retention!$C$6:$C$15,MATCH(B161,Retention!$A$6:$A$15,0)))</x:f>
      </x:c>
      <x:c r="H161" s="8" t="str">
        <x:f>IF(OR(A161="",COUNTIFS(Retention!$A$6:$A$15,B161)&lt;&gt;1),"",INDEX(Retention!$D$6:$D$15,MATCH(B161,Retention!$A$6:$A$15,0)))</x:f>
      </x:c>
      <x:c r="I161" s="10" t="str">
        <x:f>IF(OR(A161="",NOT(ISNUMBER(D161)),NOT(ISNUMBER(G161))),"",IF(G161&lt;1,"",IF(H161="months",EDATE(D161,G161),IF(H161="days",D161+G161,""))))</x:f>
      </x:c>
      <x:c r="J161" s="8" t="str">
        <x:f>IF(A161="","",IF(COUNTIFS(Retention!$A$6:$A$15,B161)&lt;&gt;1,"Check category",IF(NOT(ISNUMBER(D161)),"Set start date",IF(NOT(ISNUMBER(I161)),"Check rule",IF(AND(E161&lt;&gt;"Yes",E161&lt;&gt;"No"),"Set hold flag",IF(E161="Yes","Hold",IF(AND(K161&lt;&gt;"",ISNUMBER(L161),M161&lt;&gt;""),"Review recorded",IF(OR(K161&lt;&gt;"",L161&lt;&gt;"",M161&lt;&gt;""),"Complete review details",IF(I161&lt;=TODAY(),"Review due","Retain")))))))))</x:f>
      </x:c>
      <x:c r="K161" s="7"/>
      <x:c r="L161" s="9"/>
      <x:c r="M161" s="7"/>
    </x:row>
    <x:row r="162" ht="25" customHeight="1">
      <x:c r="A162" s="7"/>
      <x:c r="B162" s="7"/>
      <x:c r="C162" s="7"/>
      <x:c r="D162" s="9"/>
      <x:c r="E162" s="7"/>
      <x:c r="F162" s="7"/>
      <x:c r="G162" s="8" t="str">
        <x:f>IF(OR(A162="",COUNTIFS(Retention!$A$6:$A$15,B162)&lt;&gt;1),"",INDEX(Retention!$C$6:$C$15,MATCH(B162,Retention!$A$6:$A$15,0)))</x:f>
      </x:c>
      <x:c r="H162" s="8" t="str">
        <x:f>IF(OR(A162="",COUNTIFS(Retention!$A$6:$A$15,B162)&lt;&gt;1),"",INDEX(Retention!$D$6:$D$15,MATCH(B162,Retention!$A$6:$A$15,0)))</x:f>
      </x:c>
      <x:c r="I162" s="10" t="str">
        <x:f>IF(OR(A162="",NOT(ISNUMBER(D162)),NOT(ISNUMBER(G162))),"",IF(G162&lt;1,"",IF(H162="months",EDATE(D162,G162),IF(H162="days",D162+G162,""))))</x:f>
      </x:c>
      <x:c r="J162" s="8" t="str">
        <x:f>IF(A162="","",IF(COUNTIFS(Retention!$A$6:$A$15,B162)&lt;&gt;1,"Check category",IF(NOT(ISNUMBER(D162)),"Set start date",IF(NOT(ISNUMBER(I162)),"Check rule",IF(AND(E162&lt;&gt;"Yes",E162&lt;&gt;"No"),"Set hold flag",IF(E162="Yes","Hold",IF(AND(K162&lt;&gt;"",ISNUMBER(L162),M162&lt;&gt;""),"Review recorded",IF(OR(K162&lt;&gt;"",L162&lt;&gt;"",M162&lt;&gt;""),"Complete review details",IF(I162&lt;=TODAY(),"Review due","Retain")))))))))</x:f>
      </x:c>
      <x:c r="K162" s="7"/>
      <x:c r="L162" s="9"/>
      <x:c r="M162" s="7"/>
    </x:row>
    <x:row r="163" ht="25" customHeight="1">
      <x:c r="A163" s="7"/>
      <x:c r="B163" s="7"/>
      <x:c r="C163" s="7"/>
      <x:c r="D163" s="9"/>
      <x:c r="E163" s="7"/>
      <x:c r="F163" s="7"/>
      <x:c r="G163" s="8" t="str">
        <x:f>IF(OR(A163="",COUNTIFS(Retention!$A$6:$A$15,B163)&lt;&gt;1),"",INDEX(Retention!$C$6:$C$15,MATCH(B163,Retention!$A$6:$A$15,0)))</x:f>
      </x:c>
      <x:c r="H163" s="8" t="str">
        <x:f>IF(OR(A163="",COUNTIFS(Retention!$A$6:$A$15,B163)&lt;&gt;1),"",INDEX(Retention!$D$6:$D$15,MATCH(B163,Retention!$A$6:$A$15,0)))</x:f>
      </x:c>
      <x:c r="I163" s="10" t="str">
        <x:f>IF(OR(A163="",NOT(ISNUMBER(D163)),NOT(ISNUMBER(G163))),"",IF(G163&lt;1,"",IF(H163="months",EDATE(D163,G163),IF(H163="days",D163+G163,""))))</x:f>
      </x:c>
      <x:c r="J163" s="8" t="str">
        <x:f>IF(A163="","",IF(COUNTIFS(Retention!$A$6:$A$15,B163)&lt;&gt;1,"Check category",IF(NOT(ISNUMBER(D163)),"Set start date",IF(NOT(ISNUMBER(I163)),"Check rule",IF(AND(E163&lt;&gt;"Yes",E163&lt;&gt;"No"),"Set hold flag",IF(E163="Yes","Hold",IF(AND(K163&lt;&gt;"",ISNUMBER(L163),M163&lt;&gt;""),"Review recorded",IF(OR(K163&lt;&gt;"",L163&lt;&gt;"",M163&lt;&gt;""),"Complete review details",IF(I163&lt;=TODAY(),"Review due","Retain")))))))))</x:f>
      </x:c>
      <x:c r="K163" s="7"/>
      <x:c r="L163" s="9"/>
      <x:c r="M163" s="7"/>
    </x:row>
    <x:row r="164" ht="25" customHeight="1">
      <x:c r="A164" s="7"/>
      <x:c r="B164" s="7"/>
      <x:c r="C164" s="7"/>
      <x:c r="D164" s="9"/>
      <x:c r="E164" s="7"/>
      <x:c r="F164" s="7"/>
      <x:c r="G164" s="8" t="str">
        <x:f>IF(OR(A164="",COUNTIFS(Retention!$A$6:$A$15,B164)&lt;&gt;1),"",INDEX(Retention!$C$6:$C$15,MATCH(B164,Retention!$A$6:$A$15,0)))</x:f>
      </x:c>
      <x:c r="H164" s="8" t="str">
        <x:f>IF(OR(A164="",COUNTIFS(Retention!$A$6:$A$15,B164)&lt;&gt;1),"",INDEX(Retention!$D$6:$D$15,MATCH(B164,Retention!$A$6:$A$15,0)))</x:f>
      </x:c>
      <x:c r="I164" s="10" t="str">
        <x:f>IF(OR(A164="",NOT(ISNUMBER(D164)),NOT(ISNUMBER(G164))),"",IF(G164&lt;1,"",IF(H164="months",EDATE(D164,G164),IF(H164="days",D164+G164,""))))</x:f>
      </x:c>
      <x:c r="J164" s="8" t="str">
        <x:f>IF(A164="","",IF(COUNTIFS(Retention!$A$6:$A$15,B164)&lt;&gt;1,"Check category",IF(NOT(ISNUMBER(D164)),"Set start date",IF(NOT(ISNUMBER(I164)),"Check rule",IF(AND(E164&lt;&gt;"Yes",E164&lt;&gt;"No"),"Set hold flag",IF(E164="Yes","Hold",IF(AND(K164&lt;&gt;"",ISNUMBER(L164),M164&lt;&gt;""),"Review recorded",IF(OR(K164&lt;&gt;"",L164&lt;&gt;"",M164&lt;&gt;""),"Complete review details",IF(I164&lt;=TODAY(),"Review due","Retain")))))))))</x:f>
      </x:c>
      <x:c r="K164" s="7"/>
      <x:c r="L164" s="9"/>
      <x:c r="M164" s="7"/>
    </x:row>
    <x:row r="165" ht="25" customHeight="1">
      <x:c r="A165" s="7"/>
      <x:c r="B165" s="7"/>
      <x:c r="C165" s="7"/>
      <x:c r="D165" s="9"/>
      <x:c r="E165" s="7"/>
      <x:c r="F165" s="7"/>
      <x:c r="G165" s="8" t="str">
        <x:f>IF(OR(A165="",COUNTIFS(Retention!$A$6:$A$15,B165)&lt;&gt;1),"",INDEX(Retention!$C$6:$C$15,MATCH(B165,Retention!$A$6:$A$15,0)))</x:f>
      </x:c>
      <x:c r="H165" s="8" t="str">
        <x:f>IF(OR(A165="",COUNTIFS(Retention!$A$6:$A$15,B165)&lt;&gt;1),"",INDEX(Retention!$D$6:$D$15,MATCH(B165,Retention!$A$6:$A$15,0)))</x:f>
      </x:c>
      <x:c r="I165" s="10" t="str">
        <x:f>IF(OR(A165="",NOT(ISNUMBER(D165)),NOT(ISNUMBER(G165))),"",IF(G165&lt;1,"",IF(H165="months",EDATE(D165,G165),IF(H165="days",D165+G165,""))))</x:f>
      </x:c>
      <x:c r="J165" s="8" t="str">
        <x:f>IF(A165="","",IF(COUNTIFS(Retention!$A$6:$A$15,B165)&lt;&gt;1,"Check category",IF(NOT(ISNUMBER(D165)),"Set start date",IF(NOT(ISNUMBER(I165)),"Check rule",IF(AND(E165&lt;&gt;"Yes",E165&lt;&gt;"No"),"Set hold flag",IF(E165="Yes","Hold",IF(AND(K165&lt;&gt;"",ISNUMBER(L165),M165&lt;&gt;""),"Review recorded",IF(OR(K165&lt;&gt;"",L165&lt;&gt;"",M165&lt;&gt;""),"Complete review details",IF(I165&lt;=TODAY(),"Review due","Retain")))))))))</x:f>
      </x:c>
      <x:c r="K165" s="7"/>
      <x:c r="L165" s="9"/>
      <x:c r="M165" s="7"/>
    </x:row>
    <x:row r="166" ht="25" customHeight="1">
      <x:c r="A166" s="7"/>
      <x:c r="B166" s="7"/>
      <x:c r="C166" s="7"/>
      <x:c r="D166" s="9"/>
      <x:c r="E166" s="7"/>
      <x:c r="F166" s="7"/>
      <x:c r="G166" s="8" t="str">
        <x:f>IF(OR(A166="",COUNTIFS(Retention!$A$6:$A$15,B166)&lt;&gt;1),"",INDEX(Retention!$C$6:$C$15,MATCH(B166,Retention!$A$6:$A$15,0)))</x:f>
      </x:c>
      <x:c r="H166" s="8" t="str">
        <x:f>IF(OR(A166="",COUNTIFS(Retention!$A$6:$A$15,B166)&lt;&gt;1),"",INDEX(Retention!$D$6:$D$15,MATCH(B166,Retention!$A$6:$A$15,0)))</x:f>
      </x:c>
      <x:c r="I166" s="10" t="str">
        <x:f>IF(OR(A166="",NOT(ISNUMBER(D166)),NOT(ISNUMBER(G166))),"",IF(G166&lt;1,"",IF(H166="months",EDATE(D166,G166),IF(H166="days",D166+G166,""))))</x:f>
      </x:c>
      <x:c r="J166" s="8" t="str">
        <x:f>IF(A166="","",IF(COUNTIFS(Retention!$A$6:$A$15,B166)&lt;&gt;1,"Check category",IF(NOT(ISNUMBER(D166)),"Set start date",IF(NOT(ISNUMBER(I166)),"Check rule",IF(AND(E166&lt;&gt;"Yes",E166&lt;&gt;"No"),"Set hold flag",IF(E166="Yes","Hold",IF(AND(K166&lt;&gt;"",ISNUMBER(L166),M166&lt;&gt;""),"Review recorded",IF(OR(K166&lt;&gt;"",L166&lt;&gt;"",M166&lt;&gt;""),"Complete review details",IF(I166&lt;=TODAY(),"Review due","Retain")))))))))</x:f>
      </x:c>
      <x:c r="K166" s="7"/>
      <x:c r="L166" s="9"/>
      <x:c r="M166" s="7"/>
    </x:row>
    <x:row r="167" ht="25" customHeight="1">
      <x:c r="A167" s="7"/>
      <x:c r="B167" s="7"/>
      <x:c r="C167" s="7"/>
      <x:c r="D167" s="9"/>
      <x:c r="E167" s="7"/>
      <x:c r="F167" s="7"/>
      <x:c r="G167" s="8" t="str">
        <x:f>IF(OR(A167="",COUNTIFS(Retention!$A$6:$A$15,B167)&lt;&gt;1),"",INDEX(Retention!$C$6:$C$15,MATCH(B167,Retention!$A$6:$A$15,0)))</x:f>
      </x:c>
      <x:c r="H167" s="8" t="str">
        <x:f>IF(OR(A167="",COUNTIFS(Retention!$A$6:$A$15,B167)&lt;&gt;1),"",INDEX(Retention!$D$6:$D$15,MATCH(B167,Retention!$A$6:$A$15,0)))</x:f>
      </x:c>
      <x:c r="I167" s="10" t="str">
        <x:f>IF(OR(A167="",NOT(ISNUMBER(D167)),NOT(ISNUMBER(G167))),"",IF(G167&lt;1,"",IF(H167="months",EDATE(D167,G167),IF(H167="days",D167+G167,""))))</x:f>
      </x:c>
      <x:c r="J167" s="8" t="str">
        <x:f>IF(A167="","",IF(COUNTIFS(Retention!$A$6:$A$15,B167)&lt;&gt;1,"Check category",IF(NOT(ISNUMBER(D167)),"Set start date",IF(NOT(ISNUMBER(I167)),"Check rule",IF(AND(E167&lt;&gt;"Yes",E167&lt;&gt;"No"),"Set hold flag",IF(E167="Yes","Hold",IF(AND(K167&lt;&gt;"",ISNUMBER(L167),M167&lt;&gt;""),"Review recorded",IF(OR(K167&lt;&gt;"",L167&lt;&gt;"",M167&lt;&gt;""),"Complete review details",IF(I167&lt;=TODAY(),"Review due","Retain")))))))))</x:f>
      </x:c>
      <x:c r="K167" s="7"/>
      <x:c r="L167" s="9"/>
      <x:c r="M167" s="7"/>
    </x:row>
    <x:row r="168" ht="25" customHeight="1">
      <x:c r="A168" s="7"/>
      <x:c r="B168" s="7"/>
      <x:c r="C168" s="7"/>
      <x:c r="D168" s="9"/>
      <x:c r="E168" s="7"/>
      <x:c r="F168" s="7"/>
      <x:c r="G168" s="8" t="str">
        <x:f>IF(OR(A168="",COUNTIFS(Retention!$A$6:$A$15,B168)&lt;&gt;1),"",INDEX(Retention!$C$6:$C$15,MATCH(B168,Retention!$A$6:$A$15,0)))</x:f>
      </x:c>
      <x:c r="H168" s="8" t="str">
        <x:f>IF(OR(A168="",COUNTIFS(Retention!$A$6:$A$15,B168)&lt;&gt;1),"",INDEX(Retention!$D$6:$D$15,MATCH(B168,Retention!$A$6:$A$15,0)))</x:f>
      </x:c>
      <x:c r="I168" s="10" t="str">
        <x:f>IF(OR(A168="",NOT(ISNUMBER(D168)),NOT(ISNUMBER(G168))),"",IF(G168&lt;1,"",IF(H168="months",EDATE(D168,G168),IF(H168="days",D168+G168,""))))</x:f>
      </x:c>
      <x:c r="J168" s="8" t="str">
        <x:f>IF(A168="","",IF(COUNTIFS(Retention!$A$6:$A$15,B168)&lt;&gt;1,"Check category",IF(NOT(ISNUMBER(D168)),"Set start date",IF(NOT(ISNUMBER(I168)),"Check rule",IF(AND(E168&lt;&gt;"Yes",E168&lt;&gt;"No"),"Set hold flag",IF(E168="Yes","Hold",IF(AND(K168&lt;&gt;"",ISNUMBER(L168),M168&lt;&gt;""),"Review recorded",IF(OR(K168&lt;&gt;"",L168&lt;&gt;"",M168&lt;&gt;""),"Complete review details",IF(I168&lt;=TODAY(),"Review due","Retain")))))))))</x:f>
      </x:c>
      <x:c r="K168" s="7"/>
      <x:c r="L168" s="9"/>
      <x:c r="M168" s="7"/>
    </x:row>
    <x:row r="169" ht="25" customHeight="1">
      <x:c r="A169" s="7"/>
      <x:c r="B169" s="7"/>
      <x:c r="C169" s="7"/>
      <x:c r="D169" s="9"/>
      <x:c r="E169" s="7"/>
      <x:c r="F169" s="7"/>
      <x:c r="G169" s="8" t="str">
        <x:f>IF(OR(A169="",COUNTIFS(Retention!$A$6:$A$15,B169)&lt;&gt;1),"",INDEX(Retention!$C$6:$C$15,MATCH(B169,Retention!$A$6:$A$15,0)))</x:f>
      </x:c>
      <x:c r="H169" s="8" t="str">
        <x:f>IF(OR(A169="",COUNTIFS(Retention!$A$6:$A$15,B169)&lt;&gt;1),"",INDEX(Retention!$D$6:$D$15,MATCH(B169,Retention!$A$6:$A$15,0)))</x:f>
      </x:c>
      <x:c r="I169" s="10" t="str">
        <x:f>IF(OR(A169="",NOT(ISNUMBER(D169)),NOT(ISNUMBER(G169))),"",IF(G169&lt;1,"",IF(H169="months",EDATE(D169,G169),IF(H169="days",D169+G169,""))))</x:f>
      </x:c>
      <x:c r="J169" s="8" t="str">
        <x:f>IF(A169="","",IF(COUNTIFS(Retention!$A$6:$A$15,B169)&lt;&gt;1,"Check category",IF(NOT(ISNUMBER(D169)),"Set start date",IF(NOT(ISNUMBER(I169)),"Check rule",IF(AND(E169&lt;&gt;"Yes",E169&lt;&gt;"No"),"Set hold flag",IF(E169="Yes","Hold",IF(AND(K169&lt;&gt;"",ISNUMBER(L169),M169&lt;&gt;""),"Review recorded",IF(OR(K169&lt;&gt;"",L169&lt;&gt;"",M169&lt;&gt;""),"Complete review details",IF(I169&lt;=TODAY(),"Review due","Retain")))))))))</x:f>
      </x:c>
      <x:c r="K169" s="7"/>
      <x:c r="L169" s="9"/>
      <x:c r="M169" s="7"/>
    </x:row>
    <x:row r="170" ht="25" customHeight="1">
      <x:c r="A170" s="7"/>
      <x:c r="B170" s="7"/>
      <x:c r="C170" s="7"/>
      <x:c r="D170" s="9"/>
      <x:c r="E170" s="7"/>
      <x:c r="F170" s="7"/>
      <x:c r="G170" s="8" t="str">
        <x:f>IF(OR(A170="",COUNTIFS(Retention!$A$6:$A$15,B170)&lt;&gt;1),"",INDEX(Retention!$C$6:$C$15,MATCH(B170,Retention!$A$6:$A$15,0)))</x:f>
      </x:c>
      <x:c r="H170" s="8" t="str">
        <x:f>IF(OR(A170="",COUNTIFS(Retention!$A$6:$A$15,B170)&lt;&gt;1),"",INDEX(Retention!$D$6:$D$15,MATCH(B170,Retention!$A$6:$A$15,0)))</x:f>
      </x:c>
      <x:c r="I170" s="10" t="str">
        <x:f>IF(OR(A170="",NOT(ISNUMBER(D170)),NOT(ISNUMBER(G170))),"",IF(G170&lt;1,"",IF(H170="months",EDATE(D170,G170),IF(H170="days",D170+G170,""))))</x:f>
      </x:c>
      <x:c r="J170" s="8" t="str">
        <x:f>IF(A170="","",IF(COUNTIFS(Retention!$A$6:$A$15,B170)&lt;&gt;1,"Check category",IF(NOT(ISNUMBER(D170)),"Set start date",IF(NOT(ISNUMBER(I170)),"Check rule",IF(AND(E170&lt;&gt;"Yes",E170&lt;&gt;"No"),"Set hold flag",IF(E170="Yes","Hold",IF(AND(K170&lt;&gt;"",ISNUMBER(L170),M170&lt;&gt;""),"Review recorded",IF(OR(K170&lt;&gt;"",L170&lt;&gt;"",M170&lt;&gt;""),"Complete review details",IF(I170&lt;=TODAY(),"Review due","Retain")))))))))</x:f>
      </x:c>
      <x:c r="K170" s="7"/>
      <x:c r="L170" s="9"/>
      <x:c r="M170" s="7"/>
    </x:row>
    <x:row r="171" ht="25" customHeight="1">
      <x:c r="A171" s="7"/>
      <x:c r="B171" s="7"/>
      <x:c r="C171" s="7"/>
      <x:c r="D171" s="9"/>
      <x:c r="E171" s="7"/>
      <x:c r="F171" s="7"/>
      <x:c r="G171" s="8" t="str">
        <x:f>IF(OR(A171="",COUNTIFS(Retention!$A$6:$A$15,B171)&lt;&gt;1),"",INDEX(Retention!$C$6:$C$15,MATCH(B171,Retention!$A$6:$A$15,0)))</x:f>
      </x:c>
      <x:c r="H171" s="8" t="str">
        <x:f>IF(OR(A171="",COUNTIFS(Retention!$A$6:$A$15,B171)&lt;&gt;1),"",INDEX(Retention!$D$6:$D$15,MATCH(B171,Retention!$A$6:$A$15,0)))</x:f>
      </x:c>
      <x:c r="I171" s="10" t="str">
        <x:f>IF(OR(A171="",NOT(ISNUMBER(D171)),NOT(ISNUMBER(G171))),"",IF(G171&lt;1,"",IF(H171="months",EDATE(D171,G171),IF(H171="days",D171+G171,""))))</x:f>
      </x:c>
      <x:c r="J171" s="8" t="str">
        <x:f>IF(A171="","",IF(COUNTIFS(Retention!$A$6:$A$15,B171)&lt;&gt;1,"Check category",IF(NOT(ISNUMBER(D171)),"Set start date",IF(NOT(ISNUMBER(I171)),"Check rule",IF(AND(E171&lt;&gt;"Yes",E171&lt;&gt;"No"),"Set hold flag",IF(E171="Yes","Hold",IF(AND(K171&lt;&gt;"",ISNUMBER(L171),M171&lt;&gt;""),"Review recorded",IF(OR(K171&lt;&gt;"",L171&lt;&gt;"",M171&lt;&gt;""),"Complete review details",IF(I171&lt;=TODAY(),"Review due","Retain")))))))))</x:f>
      </x:c>
      <x:c r="K171" s="7"/>
      <x:c r="L171" s="9"/>
      <x:c r="M171" s="7"/>
    </x:row>
    <x:row r="172" ht="25" customHeight="1">
      <x:c r="A172" s="7"/>
      <x:c r="B172" s="7"/>
      <x:c r="C172" s="7"/>
      <x:c r="D172" s="9"/>
      <x:c r="E172" s="7"/>
      <x:c r="F172" s="7"/>
      <x:c r="G172" s="8" t="str">
        <x:f>IF(OR(A172="",COUNTIFS(Retention!$A$6:$A$15,B172)&lt;&gt;1),"",INDEX(Retention!$C$6:$C$15,MATCH(B172,Retention!$A$6:$A$15,0)))</x:f>
      </x:c>
      <x:c r="H172" s="8" t="str">
        <x:f>IF(OR(A172="",COUNTIFS(Retention!$A$6:$A$15,B172)&lt;&gt;1),"",INDEX(Retention!$D$6:$D$15,MATCH(B172,Retention!$A$6:$A$15,0)))</x:f>
      </x:c>
      <x:c r="I172" s="10" t="str">
        <x:f>IF(OR(A172="",NOT(ISNUMBER(D172)),NOT(ISNUMBER(G172))),"",IF(G172&lt;1,"",IF(H172="months",EDATE(D172,G172),IF(H172="days",D172+G172,""))))</x:f>
      </x:c>
      <x:c r="J172" s="8" t="str">
        <x:f>IF(A172="","",IF(COUNTIFS(Retention!$A$6:$A$15,B172)&lt;&gt;1,"Check category",IF(NOT(ISNUMBER(D172)),"Set start date",IF(NOT(ISNUMBER(I172)),"Check rule",IF(AND(E172&lt;&gt;"Yes",E172&lt;&gt;"No"),"Set hold flag",IF(E172="Yes","Hold",IF(AND(K172&lt;&gt;"",ISNUMBER(L172),M172&lt;&gt;""),"Review recorded",IF(OR(K172&lt;&gt;"",L172&lt;&gt;"",M172&lt;&gt;""),"Complete review details",IF(I172&lt;=TODAY(),"Review due","Retain")))))))))</x:f>
      </x:c>
      <x:c r="K172" s="7"/>
      <x:c r="L172" s="9"/>
      <x:c r="M172" s="7"/>
    </x:row>
    <x:row r="173" ht="25" customHeight="1">
      <x:c r="A173" s="7"/>
      <x:c r="B173" s="7"/>
      <x:c r="C173" s="7"/>
      <x:c r="D173" s="9"/>
      <x:c r="E173" s="7"/>
      <x:c r="F173" s="7"/>
      <x:c r="G173" s="8" t="str">
        <x:f>IF(OR(A173="",COUNTIFS(Retention!$A$6:$A$15,B173)&lt;&gt;1),"",INDEX(Retention!$C$6:$C$15,MATCH(B173,Retention!$A$6:$A$15,0)))</x:f>
      </x:c>
      <x:c r="H173" s="8" t="str">
        <x:f>IF(OR(A173="",COUNTIFS(Retention!$A$6:$A$15,B173)&lt;&gt;1),"",INDEX(Retention!$D$6:$D$15,MATCH(B173,Retention!$A$6:$A$15,0)))</x:f>
      </x:c>
      <x:c r="I173" s="10" t="str">
        <x:f>IF(OR(A173="",NOT(ISNUMBER(D173)),NOT(ISNUMBER(G173))),"",IF(G173&lt;1,"",IF(H173="months",EDATE(D173,G173),IF(H173="days",D173+G173,""))))</x:f>
      </x:c>
      <x:c r="J173" s="8" t="str">
        <x:f>IF(A173="","",IF(COUNTIFS(Retention!$A$6:$A$15,B173)&lt;&gt;1,"Check category",IF(NOT(ISNUMBER(D173)),"Set start date",IF(NOT(ISNUMBER(I173)),"Check rule",IF(AND(E173&lt;&gt;"Yes",E173&lt;&gt;"No"),"Set hold flag",IF(E173="Yes","Hold",IF(AND(K173&lt;&gt;"",ISNUMBER(L173),M173&lt;&gt;""),"Review recorded",IF(OR(K173&lt;&gt;"",L173&lt;&gt;"",M173&lt;&gt;""),"Complete review details",IF(I173&lt;=TODAY(),"Review due","Retain")))))))))</x:f>
      </x:c>
      <x:c r="K173" s="7"/>
      <x:c r="L173" s="9"/>
      <x:c r="M173" s="7"/>
    </x:row>
    <x:row r="174" ht="25" customHeight="1">
      <x:c r="A174" s="7"/>
      <x:c r="B174" s="7"/>
      <x:c r="C174" s="7"/>
      <x:c r="D174" s="9"/>
      <x:c r="E174" s="7"/>
      <x:c r="F174" s="7"/>
      <x:c r="G174" s="8" t="str">
        <x:f>IF(OR(A174="",COUNTIFS(Retention!$A$6:$A$15,B174)&lt;&gt;1),"",INDEX(Retention!$C$6:$C$15,MATCH(B174,Retention!$A$6:$A$15,0)))</x:f>
      </x:c>
      <x:c r="H174" s="8" t="str">
        <x:f>IF(OR(A174="",COUNTIFS(Retention!$A$6:$A$15,B174)&lt;&gt;1),"",INDEX(Retention!$D$6:$D$15,MATCH(B174,Retention!$A$6:$A$15,0)))</x:f>
      </x:c>
      <x:c r="I174" s="10" t="str">
        <x:f>IF(OR(A174="",NOT(ISNUMBER(D174)),NOT(ISNUMBER(G174))),"",IF(G174&lt;1,"",IF(H174="months",EDATE(D174,G174),IF(H174="days",D174+G174,""))))</x:f>
      </x:c>
      <x:c r="J174" s="8" t="str">
        <x:f>IF(A174="","",IF(COUNTIFS(Retention!$A$6:$A$15,B174)&lt;&gt;1,"Check category",IF(NOT(ISNUMBER(D174)),"Set start date",IF(NOT(ISNUMBER(I174)),"Check rule",IF(AND(E174&lt;&gt;"Yes",E174&lt;&gt;"No"),"Set hold flag",IF(E174="Yes","Hold",IF(AND(K174&lt;&gt;"",ISNUMBER(L174),M174&lt;&gt;""),"Review recorded",IF(OR(K174&lt;&gt;"",L174&lt;&gt;"",M174&lt;&gt;""),"Complete review details",IF(I174&lt;=TODAY(),"Review due","Retain")))))))))</x:f>
      </x:c>
      <x:c r="K174" s="7"/>
      <x:c r="L174" s="9"/>
      <x:c r="M174" s="7"/>
    </x:row>
    <x:row r="175" ht="25" customHeight="1">
      <x:c r="A175" s="7"/>
      <x:c r="B175" s="7"/>
      <x:c r="C175" s="7"/>
      <x:c r="D175" s="9"/>
      <x:c r="E175" s="7"/>
      <x:c r="F175" s="7"/>
      <x:c r="G175" s="8" t="str">
        <x:f>IF(OR(A175="",COUNTIFS(Retention!$A$6:$A$15,B175)&lt;&gt;1),"",INDEX(Retention!$C$6:$C$15,MATCH(B175,Retention!$A$6:$A$15,0)))</x:f>
      </x:c>
      <x:c r="H175" s="8" t="str">
        <x:f>IF(OR(A175="",COUNTIFS(Retention!$A$6:$A$15,B175)&lt;&gt;1),"",INDEX(Retention!$D$6:$D$15,MATCH(B175,Retention!$A$6:$A$15,0)))</x:f>
      </x:c>
      <x:c r="I175" s="10" t="str">
        <x:f>IF(OR(A175="",NOT(ISNUMBER(D175)),NOT(ISNUMBER(G175))),"",IF(G175&lt;1,"",IF(H175="months",EDATE(D175,G175),IF(H175="days",D175+G175,""))))</x:f>
      </x:c>
      <x:c r="J175" s="8" t="str">
        <x:f>IF(A175="","",IF(COUNTIFS(Retention!$A$6:$A$15,B175)&lt;&gt;1,"Check category",IF(NOT(ISNUMBER(D175)),"Set start date",IF(NOT(ISNUMBER(I175)),"Check rule",IF(AND(E175&lt;&gt;"Yes",E175&lt;&gt;"No"),"Set hold flag",IF(E175="Yes","Hold",IF(AND(K175&lt;&gt;"",ISNUMBER(L175),M175&lt;&gt;""),"Review recorded",IF(OR(K175&lt;&gt;"",L175&lt;&gt;"",M175&lt;&gt;""),"Complete review details",IF(I175&lt;=TODAY(),"Review due","Retain")))))))))</x:f>
      </x:c>
      <x:c r="K175" s="7"/>
      <x:c r="L175" s="9"/>
      <x:c r="M175" s="7"/>
    </x:row>
    <x:row r="176" ht="25" customHeight="1">
      <x:c r="A176" s="7"/>
      <x:c r="B176" s="7"/>
      <x:c r="C176" s="7"/>
      <x:c r="D176" s="9"/>
      <x:c r="E176" s="7"/>
      <x:c r="F176" s="7"/>
      <x:c r="G176" s="8" t="str">
        <x:f>IF(OR(A176="",COUNTIFS(Retention!$A$6:$A$15,B176)&lt;&gt;1),"",INDEX(Retention!$C$6:$C$15,MATCH(B176,Retention!$A$6:$A$15,0)))</x:f>
      </x:c>
      <x:c r="H176" s="8" t="str">
        <x:f>IF(OR(A176="",COUNTIFS(Retention!$A$6:$A$15,B176)&lt;&gt;1),"",INDEX(Retention!$D$6:$D$15,MATCH(B176,Retention!$A$6:$A$15,0)))</x:f>
      </x:c>
      <x:c r="I176" s="10" t="str">
        <x:f>IF(OR(A176="",NOT(ISNUMBER(D176)),NOT(ISNUMBER(G176))),"",IF(G176&lt;1,"",IF(H176="months",EDATE(D176,G176),IF(H176="days",D176+G176,""))))</x:f>
      </x:c>
      <x:c r="J176" s="8" t="str">
        <x:f>IF(A176="","",IF(COUNTIFS(Retention!$A$6:$A$15,B176)&lt;&gt;1,"Check category",IF(NOT(ISNUMBER(D176)),"Set start date",IF(NOT(ISNUMBER(I176)),"Check rule",IF(AND(E176&lt;&gt;"Yes",E176&lt;&gt;"No"),"Set hold flag",IF(E176="Yes","Hold",IF(AND(K176&lt;&gt;"",ISNUMBER(L176),M176&lt;&gt;""),"Review recorded",IF(OR(K176&lt;&gt;"",L176&lt;&gt;"",M176&lt;&gt;""),"Complete review details",IF(I176&lt;=TODAY(),"Review due","Retain")))))))))</x:f>
      </x:c>
      <x:c r="K176" s="7"/>
      <x:c r="L176" s="9"/>
      <x:c r="M176" s="7"/>
    </x:row>
    <x:row r="177" ht="25" customHeight="1">
      <x:c r="A177" s="7"/>
      <x:c r="B177" s="7"/>
      <x:c r="C177" s="7"/>
      <x:c r="D177" s="9"/>
      <x:c r="E177" s="7"/>
      <x:c r="F177" s="7"/>
      <x:c r="G177" s="8" t="str">
        <x:f>IF(OR(A177="",COUNTIFS(Retention!$A$6:$A$15,B177)&lt;&gt;1),"",INDEX(Retention!$C$6:$C$15,MATCH(B177,Retention!$A$6:$A$15,0)))</x:f>
      </x:c>
      <x:c r="H177" s="8" t="str">
        <x:f>IF(OR(A177="",COUNTIFS(Retention!$A$6:$A$15,B177)&lt;&gt;1),"",INDEX(Retention!$D$6:$D$15,MATCH(B177,Retention!$A$6:$A$15,0)))</x:f>
      </x:c>
      <x:c r="I177" s="10" t="str">
        <x:f>IF(OR(A177="",NOT(ISNUMBER(D177)),NOT(ISNUMBER(G177))),"",IF(G177&lt;1,"",IF(H177="months",EDATE(D177,G177),IF(H177="days",D177+G177,""))))</x:f>
      </x:c>
      <x:c r="J177" s="8" t="str">
        <x:f>IF(A177="","",IF(COUNTIFS(Retention!$A$6:$A$15,B177)&lt;&gt;1,"Check category",IF(NOT(ISNUMBER(D177)),"Set start date",IF(NOT(ISNUMBER(I177)),"Check rule",IF(AND(E177&lt;&gt;"Yes",E177&lt;&gt;"No"),"Set hold flag",IF(E177="Yes","Hold",IF(AND(K177&lt;&gt;"",ISNUMBER(L177),M177&lt;&gt;""),"Review recorded",IF(OR(K177&lt;&gt;"",L177&lt;&gt;"",M177&lt;&gt;""),"Complete review details",IF(I177&lt;=TODAY(),"Review due","Retain")))))))))</x:f>
      </x:c>
      <x:c r="K177" s="7"/>
      <x:c r="L177" s="9"/>
      <x:c r="M177" s="7"/>
    </x:row>
    <x:row r="178" ht="25" customHeight="1">
      <x:c r="A178" s="7"/>
      <x:c r="B178" s="7"/>
      <x:c r="C178" s="7"/>
      <x:c r="D178" s="9"/>
      <x:c r="E178" s="7"/>
      <x:c r="F178" s="7"/>
      <x:c r="G178" s="8" t="str">
        <x:f>IF(OR(A178="",COUNTIFS(Retention!$A$6:$A$15,B178)&lt;&gt;1),"",INDEX(Retention!$C$6:$C$15,MATCH(B178,Retention!$A$6:$A$15,0)))</x:f>
      </x:c>
      <x:c r="H178" s="8" t="str">
        <x:f>IF(OR(A178="",COUNTIFS(Retention!$A$6:$A$15,B178)&lt;&gt;1),"",INDEX(Retention!$D$6:$D$15,MATCH(B178,Retention!$A$6:$A$15,0)))</x:f>
      </x:c>
      <x:c r="I178" s="10" t="str">
        <x:f>IF(OR(A178="",NOT(ISNUMBER(D178)),NOT(ISNUMBER(G178))),"",IF(G178&lt;1,"",IF(H178="months",EDATE(D178,G178),IF(H178="days",D178+G178,""))))</x:f>
      </x:c>
      <x:c r="J178" s="8" t="str">
        <x:f>IF(A178="","",IF(COUNTIFS(Retention!$A$6:$A$15,B178)&lt;&gt;1,"Check category",IF(NOT(ISNUMBER(D178)),"Set start date",IF(NOT(ISNUMBER(I178)),"Check rule",IF(AND(E178&lt;&gt;"Yes",E178&lt;&gt;"No"),"Set hold flag",IF(E178="Yes","Hold",IF(AND(K178&lt;&gt;"",ISNUMBER(L178),M178&lt;&gt;""),"Review recorded",IF(OR(K178&lt;&gt;"",L178&lt;&gt;"",M178&lt;&gt;""),"Complete review details",IF(I178&lt;=TODAY(),"Review due","Retain")))))))))</x:f>
      </x:c>
      <x:c r="K178" s="7"/>
      <x:c r="L178" s="9"/>
      <x:c r="M178" s="7"/>
    </x:row>
    <x:row r="179" ht="25" customHeight="1">
      <x:c r="A179" s="7"/>
      <x:c r="B179" s="7"/>
      <x:c r="C179" s="7"/>
      <x:c r="D179" s="9"/>
      <x:c r="E179" s="7"/>
      <x:c r="F179" s="7"/>
      <x:c r="G179" s="8" t="str">
        <x:f>IF(OR(A179="",COUNTIFS(Retention!$A$6:$A$15,B179)&lt;&gt;1),"",INDEX(Retention!$C$6:$C$15,MATCH(B179,Retention!$A$6:$A$15,0)))</x:f>
      </x:c>
      <x:c r="H179" s="8" t="str">
        <x:f>IF(OR(A179="",COUNTIFS(Retention!$A$6:$A$15,B179)&lt;&gt;1),"",INDEX(Retention!$D$6:$D$15,MATCH(B179,Retention!$A$6:$A$15,0)))</x:f>
      </x:c>
      <x:c r="I179" s="10" t="str">
        <x:f>IF(OR(A179="",NOT(ISNUMBER(D179)),NOT(ISNUMBER(G179))),"",IF(G179&lt;1,"",IF(H179="months",EDATE(D179,G179),IF(H179="days",D179+G179,""))))</x:f>
      </x:c>
      <x:c r="J179" s="8" t="str">
        <x:f>IF(A179="","",IF(COUNTIFS(Retention!$A$6:$A$15,B179)&lt;&gt;1,"Check category",IF(NOT(ISNUMBER(D179)),"Set start date",IF(NOT(ISNUMBER(I179)),"Check rule",IF(AND(E179&lt;&gt;"Yes",E179&lt;&gt;"No"),"Set hold flag",IF(E179="Yes","Hold",IF(AND(K179&lt;&gt;"",ISNUMBER(L179),M179&lt;&gt;""),"Review recorded",IF(OR(K179&lt;&gt;"",L179&lt;&gt;"",M179&lt;&gt;""),"Complete review details",IF(I179&lt;=TODAY(),"Review due","Retain")))))))))</x:f>
      </x:c>
      <x:c r="K179" s="7"/>
      <x:c r="L179" s="9"/>
      <x:c r="M179" s="7"/>
    </x:row>
    <x:row r="180" ht="25" customHeight="1">
      <x:c r="A180" s="7"/>
      <x:c r="B180" s="7"/>
      <x:c r="C180" s="7"/>
      <x:c r="D180" s="9"/>
      <x:c r="E180" s="7"/>
      <x:c r="F180" s="7"/>
      <x:c r="G180" s="8" t="str">
        <x:f>IF(OR(A180="",COUNTIFS(Retention!$A$6:$A$15,B180)&lt;&gt;1),"",INDEX(Retention!$C$6:$C$15,MATCH(B180,Retention!$A$6:$A$15,0)))</x:f>
      </x:c>
      <x:c r="H180" s="8" t="str">
        <x:f>IF(OR(A180="",COUNTIFS(Retention!$A$6:$A$15,B180)&lt;&gt;1),"",INDEX(Retention!$D$6:$D$15,MATCH(B180,Retention!$A$6:$A$15,0)))</x:f>
      </x:c>
      <x:c r="I180" s="10" t="str">
        <x:f>IF(OR(A180="",NOT(ISNUMBER(D180)),NOT(ISNUMBER(G180))),"",IF(G180&lt;1,"",IF(H180="months",EDATE(D180,G180),IF(H180="days",D180+G180,""))))</x:f>
      </x:c>
      <x:c r="J180" s="8" t="str">
        <x:f>IF(A180="","",IF(COUNTIFS(Retention!$A$6:$A$15,B180)&lt;&gt;1,"Check category",IF(NOT(ISNUMBER(D180)),"Set start date",IF(NOT(ISNUMBER(I180)),"Check rule",IF(AND(E180&lt;&gt;"Yes",E180&lt;&gt;"No"),"Set hold flag",IF(E180="Yes","Hold",IF(AND(K180&lt;&gt;"",ISNUMBER(L180),M180&lt;&gt;""),"Review recorded",IF(OR(K180&lt;&gt;"",L180&lt;&gt;"",M180&lt;&gt;""),"Complete review details",IF(I180&lt;=TODAY(),"Review due","Retain")))))))))</x:f>
      </x:c>
      <x:c r="K180" s="7"/>
      <x:c r="L180" s="9"/>
      <x:c r="M180" s="7"/>
    </x:row>
    <x:row r="181" ht="25" customHeight="1">
      <x:c r="A181" s="7"/>
      <x:c r="B181" s="7"/>
      <x:c r="C181" s="7"/>
      <x:c r="D181" s="9"/>
      <x:c r="E181" s="7"/>
      <x:c r="F181" s="7"/>
      <x:c r="G181" s="8" t="str">
        <x:f>IF(OR(A181="",COUNTIFS(Retention!$A$6:$A$15,B181)&lt;&gt;1),"",INDEX(Retention!$C$6:$C$15,MATCH(B181,Retention!$A$6:$A$15,0)))</x:f>
      </x:c>
      <x:c r="H181" s="8" t="str">
        <x:f>IF(OR(A181="",COUNTIFS(Retention!$A$6:$A$15,B181)&lt;&gt;1),"",INDEX(Retention!$D$6:$D$15,MATCH(B181,Retention!$A$6:$A$15,0)))</x:f>
      </x:c>
      <x:c r="I181" s="10" t="str">
        <x:f>IF(OR(A181="",NOT(ISNUMBER(D181)),NOT(ISNUMBER(G181))),"",IF(G181&lt;1,"",IF(H181="months",EDATE(D181,G181),IF(H181="days",D181+G181,""))))</x:f>
      </x:c>
      <x:c r="J181" s="8" t="str">
        <x:f>IF(A181="","",IF(COUNTIFS(Retention!$A$6:$A$15,B181)&lt;&gt;1,"Check category",IF(NOT(ISNUMBER(D181)),"Set start date",IF(NOT(ISNUMBER(I181)),"Check rule",IF(AND(E181&lt;&gt;"Yes",E181&lt;&gt;"No"),"Set hold flag",IF(E181="Yes","Hold",IF(AND(K181&lt;&gt;"",ISNUMBER(L181),M181&lt;&gt;""),"Review recorded",IF(OR(K181&lt;&gt;"",L181&lt;&gt;"",M181&lt;&gt;""),"Complete review details",IF(I181&lt;=TODAY(),"Review due","Retain")))))))))</x:f>
      </x:c>
      <x:c r="K181" s="7"/>
      <x:c r="L181" s="9"/>
      <x:c r="M181" s="7"/>
    </x:row>
    <x:row r="182" ht="25" customHeight="1">
      <x:c r="A182" s="7"/>
      <x:c r="B182" s="7"/>
      <x:c r="C182" s="7"/>
      <x:c r="D182" s="9"/>
      <x:c r="E182" s="7"/>
      <x:c r="F182" s="7"/>
      <x:c r="G182" s="8" t="str">
        <x:f>IF(OR(A182="",COUNTIFS(Retention!$A$6:$A$15,B182)&lt;&gt;1),"",INDEX(Retention!$C$6:$C$15,MATCH(B182,Retention!$A$6:$A$15,0)))</x:f>
      </x:c>
      <x:c r="H182" s="8" t="str">
        <x:f>IF(OR(A182="",COUNTIFS(Retention!$A$6:$A$15,B182)&lt;&gt;1),"",INDEX(Retention!$D$6:$D$15,MATCH(B182,Retention!$A$6:$A$15,0)))</x:f>
      </x:c>
      <x:c r="I182" s="10" t="str">
        <x:f>IF(OR(A182="",NOT(ISNUMBER(D182)),NOT(ISNUMBER(G182))),"",IF(G182&lt;1,"",IF(H182="months",EDATE(D182,G182),IF(H182="days",D182+G182,""))))</x:f>
      </x:c>
      <x:c r="J182" s="8" t="str">
        <x:f>IF(A182="","",IF(COUNTIFS(Retention!$A$6:$A$15,B182)&lt;&gt;1,"Check category",IF(NOT(ISNUMBER(D182)),"Set start date",IF(NOT(ISNUMBER(I182)),"Check rule",IF(AND(E182&lt;&gt;"Yes",E182&lt;&gt;"No"),"Set hold flag",IF(E182="Yes","Hold",IF(AND(K182&lt;&gt;"",ISNUMBER(L182),M182&lt;&gt;""),"Review recorded",IF(OR(K182&lt;&gt;"",L182&lt;&gt;"",M182&lt;&gt;""),"Complete review details",IF(I182&lt;=TODAY(),"Review due","Retain")))))))))</x:f>
      </x:c>
      <x:c r="K182" s="7"/>
      <x:c r="L182" s="9"/>
      <x:c r="M182" s="7"/>
    </x:row>
    <x:row r="183" ht="25" customHeight="1">
      <x:c r="A183" s="7"/>
      <x:c r="B183" s="7"/>
      <x:c r="C183" s="7"/>
      <x:c r="D183" s="9"/>
      <x:c r="E183" s="7"/>
      <x:c r="F183" s="7"/>
      <x:c r="G183" s="8" t="str">
        <x:f>IF(OR(A183="",COUNTIFS(Retention!$A$6:$A$15,B183)&lt;&gt;1),"",INDEX(Retention!$C$6:$C$15,MATCH(B183,Retention!$A$6:$A$15,0)))</x:f>
      </x:c>
      <x:c r="H183" s="8" t="str">
        <x:f>IF(OR(A183="",COUNTIFS(Retention!$A$6:$A$15,B183)&lt;&gt;1),"",INDEX(Retention!$D$6:$D$15,MATCH(B183,Retention!$A$6:$A$15,0)))</x:f>
      </x:c>
      <x:c r="I183" s="10" t="str">
        <x:f>IF(OR(A183="",NOT(ISNUMBER(D183)),NOT(ISNUMBER(G183))),"",IF(G183&lt;1,"",IF(H183="months",EDATE(D183,G183),IF(H183="days",D183+G183,""))))</x:f>
      </x:c>
      <x:c r="J183" s="8" t="str">
        <x:f>IF(A183="","",IF(COUNTIFS(Retention!$A$6:$A$15,B183)&lt;&gt;1,"Check category",IF(NOT(ISNUMBER(D183)),"Set start date",IF(NOT(ISNUMBER(I183)),"Check rule",IF(AND(E183&lt;&gt;"Yes",E183&lt;&gt;"No"),"Set hold flag",IF(E183="Yes","Hold",IF(AND(K183&lt;&gt;"",ISNUMBER(L183),M183&lt;&gt;""),"Review recorded",IF(OR(K183&lt;&gt;"",L183&lt;&gt;"",M183&lt;&gt;""),"Complete review details",IF(I183&lt;=TODAY(),"Review due","Retain")))))))))</x:f>
      </x:c>
      <x:c r="K183" s="7"/>
      <x:c r="L183" s="9"/>
      <x:c r="M183" s="7"/>
    </x:row>
    <x:row r="184" ht="25" customHeight="1">
      <x:c r="A184" s="7"/>
      <x:c r="B184" s="7"/>
      <x:c r="C184" s="7"/>
      <x:c r="D184" s="9"/>
      <x:c r="E184" s="7"/>
      <x:c r="F184" s="7"/>
      <x:c r="G184" s="8" t="str">
        <x:f>IF(OR(A184="",COUNTIFS(Retention!$A$6:$A$15,B184)&lt;&gt;1),"",INDEX(Retention!$C$6:$C$15,MATCH(B184,Retention!$A$6:$A$15,0)))</x:f>
      </x:c>
      <x:c r="H184" s="8" t="str">
        <x:f>IF(OR(A184="",COUNTIFS(Retention!$A$6:$A$15,B184)&lt;&gt;1),"",INDEX(Retention!$D$6:$D$15,MATCH(B184,Retention!$A$6:$A$15,0)))</x:f>
      </x:c>
      <x:c r="I184" s="10" t="str">
        <x:f>IF(OR(A184="",NOT(ISNUMBER(D184)),NOT(ISNUMBER(G184))),"",IF(G184&lt;1,"",IF(H184="months",EDATE(D184,G184),IF(H184="days",D184+G184,""))))</x:f>
      </x:c>
      <x:c r="J184" s="8" t="str">
        <x:f>IF(A184="","",IF(COUNTIFS(Retention!$A$6:$A$15,B184)&lt;&gt;1,"Check category",IF(NOT(ISNUMBER(D184)),"Set start date",IF(NOT(ISNUMBER(I184)),"Check rule",IF(AND(E184&lt;&gt;"Yes",E184&lt;&gt;"No"),"Set hold flag",IF(E184="Yes","Hold",IF(AND(K184&lt;&gt;"",ISNUMBER(L184),M184&lt;&gt;""),"Review recorded",IF(OR(K184&lt;&gt;"",L184&lt;&gt;"",M184&lt;&gt;""),"Complete review details",IF(I184&lt;=TODAY(),"Review due","Retain")))))))))</x:f>
      </x:c>
      <x:c r="K184" s="7"/>
      <x:c r="L184" s="9"/>
      <x:c r="M184" s="7"/>
    </x:row>
    <x:row r="185" ht="25" customHeight="1">
      <x:c r="A185" s="7"/>
      <x:c r="B185" s="7"/>
      <x:c r="C185" s="7"/>
      <x:c r="D185" s="9"/>
      <x:c r="E185" s="7"/>
      <x:c r="F185" s="7"/>
      <x:c r="G185" s="8" t="str">
        <x:f>IF(OR(A185="",COUNTIFS(Retention!$A$6:$A$15,B185)&lt;&gt;1),"",INDEX(Retention!$C$6:$C$15,MATCH(B185,Retention!$A$6:$A$15,0)))</x:f>
      </x:c>
      <x:c r="H185" s="8" t="str">
        <x:f>IF(OR(A185="",COUNTIFS(Retention!$A$6:$A$15,B185)&lt;&gt;1),"",INDEX(Retention!$D$6:$D$15,MATCH(B185,Retention!$A$6:$A$15,0)))</x:f>
      </x:c>
      <x:c r="I185" s="10" t="str">
        <x:f>IF(OR(A185="",NOT(ISNUMBER(D185)),NOT(ISNUMBER(G185))),"",IF(G185&lt;1,"",IF(H185="months",EDATE(D185,G185),IF(H185="days",D185+G185,""))))</x:f>
      </x:c>
      <x:c r="J185" s="8" t="str">
        <x:f>IF(A185="","",IF(COUNTIFS(Retention!$A$6:$A$15,B185)&lt;&gt;1,"Check category",IF(NOT(ISNUMBER(D185)),"Set start date",IF(NOT(ISNUMBER(I185)),"Check rule",IF(AND(E185&lt;&gt;"Yes",E185&lt;&gt;"No"),"Set hold flag",IF(E185="Yes","Hold",IF(AND(K185&lt;&gt;"",ISNUMBER(L185),M185&lt;&gt;""),"Review recorded",IF(OR(K185&lt;&gt;"",L185&lt;&gt;"",M185&lt;&gt;""),"Complete review details",IF(I185&lt;=TODAY(),"Review due","Retain")))))))))</x:f>
      </x:c>
      <x:c r="K185" s="7"/>
      <x:c r="L185" s="9"/>
      <x:c r="M185" s="7"/>
    </x:row>
    <x:row r="186" ht="25" customHeight="1">
      <x:c r="A186" s="7"/>
      <x:c r="B186" s="7"/>
      <x:c r="C186" s="7"/>
      <x:c r="D186" s="9"/>
      <x:c r="E186" s="7"/>
      <x:c r="F186" s="7"/>
      <x:c r="G186" s="8" t="str">
        <x:f>IF(OR(A186="",COUNTIFS(Retention!$A$6:$A$15,B186)&lt;&gt;1),"",INDEX(Retention!$C$6:$C$15,MATCH(B186,Retention!$A$6:$A$15,0)))</x:f>
      </x:c>
      <x:c r="H186" s="8" t="str">
        <x:f>IF(OR(A186="",COUNTIFS(Retention!$A$6:$A$15,B186)&lt;&gt;1),"",INDEX(Retention!$D$6:$D$15,MATCH(B186,Retention!$A$6:$A$15,0)))</x:f>
      </x:c>
      <x:c r="I186" s="10" t="str">
        <x:f>IF(OR(A186="",NOT(ISNUMBER(D186)),NOT(ISNUMBER(G186))),"",IF(G186&lt;1,"",IF(H186="months",EDATE(D186,G186),IF(H186="days",D186+G186,""))))</x:f>
      </x:c>
      <x:c r="J186" s="8" t="str">
        <x:f>IF(A186="","",IF(COUNTIFS(Retention!$A$6:$A$15,B186)&lt;&gt;1,"Check category",IF(NOT(ISNUMBER(D186)),"Set start date",IF(NOT(ISNUMBER(I186)),"Check rule",IF(AND(E186&lt;&gt;"Yes",E186&lt;&gt;"No"),"Set hold flag",IF(E186="Yes","Hold",IF(AND(K186&lt;&gt;"",ISNUMBER(L186),M186&lt;&gt;""),"Review recorded",IF(OR(K186&lt;&gt;"",L186&lt;&gt;"",M186&lt;&gt;""),"Complete review details",IF(I186&lt;=TODAY(),"Review due","Retain")))))))))</x:f>
      </x:c>
      <x:c r="K186" s="7"/>
      <x:c r="L186" s="9"/>
      <x:c r="M186" s="7"/>
    </x:row>
    <x:row r="187" ht="25" customHeight="1">
      <x:c r="A187" s="7"/>
      <x:c r="B187" s="7"/>
      <x:c r="C187" s="7"/>
      <x:c r="D187" s="9"/>
      <x:c r="E187" s="7"/>
      <x:c r="F187" s="7"/>
      <x:c r="G187" s="8" t="str">
        <x:f>IF(OR(A187="",COUNTIFS(Retention!$A$6:$A$15,B187)&lt;&gt;1),"",INDEX(Retention!$C$6:$C$15,MATCH(B187,Retention!$A$6:$A$15,0)))</x:f>
      </x:c>
      <x:c r="H187" s="8" t="str">
        <x:f>IF(OR(A187="",COUNTIFS(Retention!$A$6:$A$15,B187)&lt;&gt;1),"",INDEX(Retention!$D$6:$D$15,MATCH(B187,Retention!$A$6:$A$15,0)))</x:f>
      </x:c>
      <x:c r="I187" s="10" t="str">
        <x:f>IF(OR(A187="",NOT(ISNUMBER(D187)),NOT(ISNUMBER(G187))),"",IF(G187&lt;1,"",IF(H187="months",EDATE(D187,G187),IF(H187="days",D187+G187,""))))</x:f>
      </x:c>
      <x:c r="J187" s="8" t="str">
        <x:f>IF(A187="","",IF(COUNTIFS(Retention!$A$6:$A$15,B187)&lt;&gt;1,"Check category",IF(NOT(ISNUMBER(D187)),"Set start date",IF(NOT(ISNUMBER(I187)),"Check rule",IF(AND(E187&lt;&gt;"Yes",E187&lt;&gt;"No"),"Set hold flag",IF(E187="Yes","Hold",IF(AND(K187&lt;&gt;"",ISNUMBER(L187),M187&lt;&gt;""),"Review recorded",IF(OR(K187&lt;&gt;"",L187&lt;&gt;"",M187&lt;&gt;""),"Complete review details",IF(I187&lt;=TODAY(),"Review due","Retain")))))))))</x:f>
      </x:c>
      <x:c r="K187" s="7"/>
      <x:c r="L187" s="9"/>
      <x:c r="M187" s="7"/>
    </x:row>
    <x:row r="188" ht="25" customHeight="1">
      <x:c r="A188" s="7"/>
      <x:c r="B188" s="7"/>
      <x:c r="C188" s="7"/>
      <x:c r="D188" s="9"/>
      <x:c r="E188" s="7"/>
      <x:c r="F188" s="7"/>
      <x:c r="G188" s="8" t="str">
        <x:f>IF(OR(A188="",COUNTIFS(Retention!$A$6:$A$15,B188)&lt;&gt;1),"",INDEX(Retention!$C$6:$C$15,MATCH(B188,Retention!$A$6:$A$15,0)))</x:f>
      </x:c>
      <x:c r="H188" s="8" t="str">
        <x:f>IF(OR(A188="",COUNTIFS(Retention!$A$6:$A$15,B188)&lt;&gt;1),"",INDEX(Retention!$D$6:$D$15,MATCH(B188,Retention!$A$6:$A$15,0)))</x:f>
      </x:c>
      <x:c r="I188" s="10" t="str">
        <x:f>IF(OR(A188="",NOT(ISNUMBER(D188)),NOT(ISNUMBER(G188))),"",IF(G188&lt;1,"",IF(H188="months",EDATE(D188,G188),IF(H188="days",D188+G188,""))))</x:f>
      </x:c>
      <x:c r="J188" s="8" t="str">
        <x:f>IF(A188="","",IF(COUNTIFS(Retention!$A$6:$A$15,B188)&lt;&gt;1,"Check category",IF(NOT(ISNUMBER(D188)),"Set start date",IF(NOT(ISNUMBER(I188)),"Check rule",IF(AND(E188&lt;&gt;"Yes",E188&lt;&gt;"No"),"Set hold flag",IF(E188="Yes","Hold",IF(AND(K188&lt;&gt;"",ISNUMBER(L188),M188&lt;&gt;""),"Review recorded",IF(OR(K188&lt;&gt;"",L188&lt;&gt;"",M188&lt;&gt;""),"Complete review details",IF(I188&lt;=TODAY(),"Review due","Retain")))))))))</x:f>
      </x:c>
      <x:c r="K188" s="7"/>
      <x:c r="L188" s="9"/>
      <x:c r="M188" s="7"/>
    </x:row>
    <x:row r="189" ht="25" customHeight="1">
      <x:c r="A189" s="7"/>
      <x:c r="B189" s="7"/>
      <x:c r="C189" s="7"/>
      <x:c r="D189" s="9"/>
      <x:c r="E189" s="7"/>
      <x:c r="F189" s="7"/>
      <x:c r="G189" s="8" t="str">
        <x:f>IF(OR(A189="",COUNTIFS(Retention!$A$6:$A$15,B189)&lt;&gt;1),"",INDEX(Retention!$C$6:$C$15,MATCH(B189,Retention!$A$6:$A$15,0)))</x:f>
      </x:c>
      <x:c r="H189" s="8" t="str">
        <x:f>IF(OR(A189="",COUNTIFS(Retention!$A$6:$A$15,B189)&lt;&gt;1),"",INDEX(Retention!$D$6:$D$15,MATCH(B189,Retention!$A$6:$A$15,0)))</x:f>
      </x:c>
      <x:c r="I189" s="10" t="str">
        <x:f>IF(OR(A189="",NOT(ISNUMBER(D189)),NOT(ISNUMBER(G189))),"",IF(G189&lt;1,"",IF(H189="months",EDATE(D189,G189),IF(H189="days",D189+G189,""))))</x:f>
      </x:c>
      <x:c r="J189" s="8" t="str">
        <x:f>IF(A189="","",IF(COUNTIFS(Retention!$A$6:$A$15,B189)&lt;&gt;1,"Check category",IF(NOT(ISNUMBER(D189)),"Set start date",IF(NOT(ISNUMBER(I189)),"Check rule",IF(AND(E189&lt;&gt;"Yes",E189&lt;&gt;"No"),"Set hold flag",IF(E189="Yes","Hold",IF(AND(K189&lt;&gt;"",ISNUMBER(L189),M189&lt;&gt;""),"Review recorded",IF(OR(K189&lt;&gt;"",L189&lt;&gt;"",M189&lt;&gt;""),"Complete review details",IF(I189&lt;=TODAY(),"Review due","Retain")))))))))</x:f>
      </x:c>
      <x:c r="K189" s="7"/>
      <x:c r="L189" s="9"/>
      <x:c r="M189" s="7"/>
    </x:row>
    <x:row r="190" ht="25" customHeight="1">
      <x:c r="A190" s="7"/>
      <x:c r="B190" s="7"/>
      <x:c r="C190" s="7"/>
      <x:c r="D190" s="9"/>
      <x:c r="E190" s="7"/>
      <x:c r="F190" s="7"/>
      <x:c r="G190" s="8" t="str">
        <x:f>IF(OR(A190="",COUNTIFS(Retention!$A$6:$A$15,B190)&lt;&gt;1),"",INDEX(Retention!$C$6:$C$15,MATCH(B190,Retention!$A$6:$A$15,0)))</x:f>
      </x:c>
      <x:c r="H190" s="8" t="str">
        <x:f>IF(OR(A190="",COUNTIFS(Retention!$A$6:$A$15,B190)&lt;&gt;1),"",INDEX(Retention!$D$6:$D$15,MATCH(B190,Retention!$A$6:$A$15,0)))</x:f>
      </x:c>
      <x:c r="I190" s="10" t="str">
        <x:f>IF(OR(A190="",NOT(ISNUMBER(D190)),NOT(ISNUMBER(G190))),"",IF(G190&lt;1,"",IF(H190="months",EDATE(D190,G190),IF(H190="days",D190+G190,""))))</x:f>
      </x:c>
      <x:c r="J190" s="8" t="str">
        <x:f>IF(A190="","",IF(COUNTIFS(Retention!$A$6:$A$15,B190)&lt;&gt;1,"Check category",IF(NOT(ISNUMBER(D190)),"Set start date",IF(NOT(ISNUMBER(I190)),"Check rule",IF(AND(E190&lt;&gt;"Yes",E190&lt;&gt;"No"),"Set hold flag",IF(E190="Yes","Hold",IF(AND(K190&lt;&gt;"",ISNUMBER(L190),M190&lt;&gt;""),"Review recorded",IF(OR(K190&lt;&gt;"",L190&lt;&gt;"",M190&lt;&gt;""),"Complete review details",IF(I190&lt;=TODAY(),"Review due","Retain")))))))))</x:f>
      </x:c>
      <x:c r="K190" s="7"/>
      <x:c r="L190" s="9"/>
      <x:c r="M190" s="7"/>
    </x:row>
    <x:row r="191" ht="25" customHeight="1">
      <x:c r="A191" s="7"/>
      <x:c r="B191" s="7"/>
      <x:c r="C191" s="7"/>
      <x:c r="D191" s="9"/>
      <x:c r="E191" s="7"/>
      <x:c r="F191" s="7"/>
      <x:c r="G191" s="8" t="str">
        <x:f>IF(OR(A191="",COUNTIFS(Retention!$A$6:$A$15,B191)&lt;&gt;1),"",INDEX(Retention!$C$6:$C$15,MATCH(B191,Retention!$A$6:$A$15,0)))</x:f>
      </x:c>
      <x:c r="H191" s="8" t="str">
        <x:f>IF(OR(A191="",COUNTIFS(Retention!$A$6:$A$15,B191)&lt;&gt;1),"",INDEX(Retention!$D$6:$D$15,MATCH(B191,Retention!$A$6:$A$15,0)))</x:f>
      </x:c>
      <x:c r="I191" s="10" t="str">
        <x:f>IF(OR(A191="",NOT(ISNUMBER(D191)),NOT(ISNUMBER(G191))),"",IF(G191&lt;1,"",IF(H191="months",EDATE(D191,G191),IF(H191="days",D191+G191,""))))</x:f>
      </x:c>
      <x:c r="J191" s="8" t="str">
        <x:f>IF(A191="","",IF(COUNTIFS(Retention!$A$6:$A$15,B191)&lt;&gt;1,"Check category",IF(NOT(ISNUMBER(D191)),"Set start date",IF(NOT(ISNUMBER(I191)),"Check rule",IF(AND(E191&lt;&gt;"Yes",E191&lt;&gt;"No"),"Set hold flag",IF(E191="Yes","Hold",IF(AND(K191&lt;&gt;"",ISNUMBER(L191),M191&lt;&gt;""),"Review recorded",IF(OR(K191&lt;&gt;"",L191&lt;&gt;"",M191&lt;&gt;""),"Complete review details",IF(I191&lt;=TODAY(),"Review due","Retain")))))))))</x:f>
      </x:c>
      <x:c r="K191" s="7"/>
      <x:c r="L191" s="9"/>
      <x:c r="M191" s="7"/>
    </x:row>
    <x:row r="192" ht="25" customHeight="1">
      <x:c r="A192" s="7"/>
      <x:c r="B192" s="7"/>
      <x:c r="C192" s="7"/>
      <x:c r="D192" s="9"/>
      <x:c r="E192" s="7"/>
      <x:c r="F192" s="7"/>
      <x:c r="G192" s="8" t="str">
        <x:f>IF(OR(A192="",COUNTIFS(Retention!$A$6:$A$15,B192)&lt;&gt;1),"",INDEX(Retention!$C$6:$C$15,MATCH(B192,Retention!$A$6:$A$15,0)))</x:f>
      </x:c>
      <x:c r="H192" s="8" t="str">
        <x:f>IF(OR(A192="",COUNTIFS(Retention!$A$6:$A$15,B192)&lt;&gt;1),"",INDEX(Retention!$D$6:$D$15,MATCH(B192,Retention!$A$6:$A$15,0)))</x:f>
      </x:c>
      <x:c r="I192" s="10" t="str">
        <x:f>IF(OR(A192="",NOT(ISNUMBER(D192)),NOT(ISNUMBER(G192))),"",IF(G192&lt;1,"",IF(H192="months",EDATE(D192,G192),IF(H192="days",D192+G192,""))))</x:f>
      </x:c>
      <x:c r="J192" s="8" t="str">
        <x:f>IF(A192="","",IF(COUNTIFS(Retention!$A$6:$A$15,B192)&lt;&gt;1,"Check category",IF(NOT(ISNUMBER(D192)),"Set start date",IF(NOT(ISNUMBER(I192)),"Check rule",IF(AND(E192&lt;&gt;"Yes",E192&lt;&gt;"No"),"Set hold flag",IF(E192="Yes","Hold",IF(AND(K192&lt;&gt;"",ISNUMBER(L192),M192&lt;&gt;""),"Review recorded",IF(OR(K192&lt;&gt;"",L192&lt;&gt;"",M192&lt;&gt;""),"Complete review details",IF(I192&lt;=TODAY(),"Review due","Retain")))))))))</x:f>
      </x:c>
      <x:c r="K192" s="7"/>
      <x:c r="L192" s="9"/>
      <x:c r="M192" s="7"/>
    </x:row>
    <x:row r="193" ht="25" customHeight="1">
      <x:c r="A193" s="7"/>
      <x:c r="B193" s="7"/>
      <x:c r="C193" s="7"/>
      <x:c r="D193" s="9"/>
      <x:c r="E193" s="7"/>
      <x:c r="F193" s="7"/>
      <x:c r="G193" s="8" t="str">
        <x:f>IF(OR(A193="",COUNTIFS(Retention!$A$6:$A$15,B193)&lt;&gt;1),"",INDEX(Retention!$C$6:$C$15,MATCH(B193,Retention!$A$6:$A$15,0)))</x:f>
      </x:c>
      <x:c r="H193" s="8" t="str">
        <x:f>IF(OR(A193="",COUNTIFS(Retention!$A$6:$A$15,B193)&lt;&gt;1),"",INDEX(Retention!$D$6:$D$15,MATCH(B193,Retention!$A$6:$A$15,0)))</x:f>
      </x:c>
      <x:c r="I193" s="10" t="str">
        <x:f>IF(OR(A193="",NOT(ISNUMBER(D193)),NOT(ISNUMBER(G193))),"",IF(G193&lt;1,"",IF(H193="months",EDATE(D193,G193),IF(H193="days",D193+G193,""))))</x:f>
      </x:c>
      <x:c r="J193" s="8" t="str">
        <x:f>IF(A193="","",IF(COUNTIFS(Retention!$A$6:$A$15,B193)&lt;&gt;1,"Check category",IF(NOT(ISNUMBER(D193)),"Set start date",IF(NOT(ISNUMBER(I193)),"Check rule",IF(AND(E193&lt;&gt;"Yes",E193&lt;&gt;"No"),"Set hold flag",IF(E193="Yes","Hold",IF(AND(K193&lt;&gt;"",ISNUMBER(L193),M193&lt;&gt;""),"Review recorded",IF(OR(K193&lt;&gt;"",L193&lt;&gt;"",M193&lt;&gt;""),"Complete review details",IF(I193&lt;=TODAY(),"Review due","Retain")))))))))</x:f>
      </x:c>
      <x:c r="K193" s="7"/>
      <x:c r="L193" s="9"/>
      <x:c r="M193" s="7"/>
    </x:row>
    <x:row r="194" ht="25" customHeight="1">
      <x:c r="A194" s="7"/>
      <x:c r="B194" s="7"/>
      <x:c r="C194" s="7"/>
      <x:c r="D194" s="9"/>
      <x:c r="E194" s="7"/>
      <x:c r="F194" s="7"/>
      <x:c r="G194" s="8" t="str">
        <x:f>IF(OR(A194="",COUNTIFS(Retention!$A$6:$A$15,B194)&lt;&gt;1),"",INDEX(Retention!$C$6:$C$15,MATCH(B194,Retention!$A$6:$A$15,0)))</x:f>
      </x:c>
      <x:c r="H194" s="8" t="str">
        <x:f>IF(OR(A194="",COUNTIFS(Retention!$A$6:$A$15,B194)&lt;&gt;1),"",INDEX(Retention!$D$6:$D$15,MATCH(B194,Retention!$A$6:$A$15,0)))</x:f>
      </x:c>
      <x:c r="I194" s="10" t="str">
        <x:f>IF(OR(A194="",NOT(ISNUMBER(D194)),NOT(ISNUMBER(G194))),"",IF(G194&lt;1,"",IF(H194="months",EDATE(D194,G194),IF(H194="days",D194+G194,""))))</x:f>
      </x:c>
      <x:c r="J194" s="8" t="str">
        <x:f>IF(A194="","",IF(COUNTIFS(Retention!$A$6:$A$15,B194)&lt;&gt;1,"Check category",IF(NOT(ISNUMBER(D194)),"Set start date",IF(NOT(ISNUMBER(I194)),"Check rule",IF(AND(E194&lt;&gt;"Yes",E194&lt;&gt;"No"),"Set hold flag",IF(E194="Yes","Hold",IF(AND(K194&lt;&gt;"",ISNUMBER(L194),M194&lt;&gt;""),"Review recorded",IF(OR(K194&lt;&gt;"",L194&lt;&gt;"",M194&lt;&gt;""),"Complete review details",IF(I194&lt;=TODAY(),"Review due","Retain")))))))))</x:f>
      </x:c>
      <x:c r="K194" s="7"/>
      <x:c r="L194" s="9"/>
      <x:c r="M194" s="7"/>
    </x:row>
    <x:row r="195" ht="25" customHeight="1">
      <x:c r="A195" s="7"/>
      <x:c r="B195" s="7"/>
      <x:c r="C195" s="7"/>
      <x:c r="D195" s="9"/>
      <x:c r="E195" s="7"/>
      <x:c r="F195" s="7"/>
      <x:c r="G195" s="8" t="str">
        <x:f>IF(OR(A195="",COUNTIFS(Retention!$A$6:$A$15,B195)&lt;&gt;1),"",INDEX(Retention!$C$6:$C$15,MATCH(B195,Retention!$A$6:$A$15,0)))</x:f>
      </x:c>
      <x:c r="H195" s="8" t="str">
        <x:f>IF(OR(A195="",COUNTIFS(Retention!$A$6:$A$15,B195)&lt;&gt;1),"",INDEX(Retention!$D$6:$D$15,MATCH(B195,Retention!$A$6:$A$15,0)))</x:f>
      </x:c>
      <x:c r="I195" s="10" t="str">
        <x:f>IF(OR(A195="",NOT(ISNUMBER(D195)),NOT(ISNUMBER(G195))),"",IF(G195&lt;1,"",IF(H195="months",EDATE(D195,G195),IF(H195="days",D195+G195,""))))</x:f>
      </x:c>
      <x:c r="J195" s="8" t="str">
        <x:f>IF(A195="","",IF(COUNTIFS(Retention!$A$6:$A$15,B195)&lt;&gt;1,"Check category",IF(NOT(ISNUMBER(D195)),"Set start date",IF(NOT(ISNUMBER(I195)),"Check rule",IF(AND(E195&lt;&gt;"Yes",E195&lt;&gt;"No"),"Set hold flag",IF(E195="Yes","Hold",IF(AND(K195&lt;&gt;"",ISNUMBER(L195),M195&lt;&gt;""),"Review recorded",IF(OR(K195&lt;&gt;"",L195&lt;&gt;"",M195&lt;&gt;""),"Complete review details",IF(I195&lt;=TODAY(),"Review due","Retain")))))))))</x:f>
      </x:c>
      <x:c r="K195" s="7"/>
      <x:c r="L195" s="9"/>
      <x:c r="M195" s="7"/>
    </x:row>
    <x:row r="196" ht="25" customHeight="1">
      <x:c r="A196" s="7"/>
      <x:c r="B196" s="7"/>
      <x:c r="C196" s="7"/>
      <x:c r="D196" s="9"/>
      <x:c r="E196" s="7"/>
      <x:c r="F196" s="7"/>
      <x:c r="G196" s="8" t="str">
        <x:f>IF(OR(A196="",COUNTIFS(Retention!$A$6:$A$15,B196)&lt;&gt;1),"",INDEX(Retention!$C$6:$C$15,MATCH(B196,Retention!$A$6:$A$15,0)))</x:f>
      </x:c>
      <x:c r="H196" s="8" t="str">
        <x:f>IF(OR(A196="",COUNTIFS(Retention!$A$6:$A$15,B196)&lt;&gt;1),"",INDEX(Retention!$D$6:$D$15,MATCH(B196,Retention!$A$6:$A$15,0)))</x:f>
      </x:c>
      <x:c r="I196" s="10" t="str">
        <x:f>IF(OR(A196="",NOT(ISNUMBER(D196)),NOT(ISNUMBER(G196))),"",IF(G196&lt;1,"",IF(H196="months",EDATE(D196,G196),IF(H196="days",D196+G196,""))))</x:f>
      </x:c>
      <x:c r="J196" s="8" t="str">
        <x:f>IF(A196="","",IF(COUNTIFS(Retention!$A$6:$A$15,B196)&lt;&gt;1,"Check category",IF(NOT(ISNUMBER(D196)),"Set start date",IF(NOT(ISNUMBER(I196)),"Check rule",IF(AND(E196&lt;&gt;"Yes",E196&lt;&gt;"No"),"Set hold flag",IF(E196="Yes","Hold",IF(AND(K196&lt;&gt;"",ISNUMBER(L196),M196&lt;&gt;""),"Review recorded",IF(OR(K196&lt;&gt;"",L196&lt;&gt;"",M196&lt;&gt;""),"Complete review details",IF(I196&lt;=TODAY(),"Review due","Retain")))))))))</x:f>
      </x:c>
      <x:c r="K196" s="7"/>
      <x:c r="L196" s="9"/>
      <x:c r="M196" s="7"/>
    </x:row>
    <x:row r="197" ht="25" customHeight="1">
      <x:c r="A197" s="7"/>
      <x:c r="B197" s="7"/>
      <x:c r="C197" s="7"/>
      <x:c r="D197" s="9"/>
      <x:c r="E197" s="7"/>
      <x:c r="F197" s="7"/>
      <x:c r="G197" s="8" t="str">
        <x:f>IF(OR(A197="",COUNTIFS(Retention!$A$6:$A$15,B197)&lt;&gt;1),"",INDEX(Retention!$C$6:$C$15,MATCH(B197,Retention!$A$6:$A$15,0)))</x:f>
      </x:c>
      <x:c r="H197" s="8" t="str">
        <x:f>IF(OR(A197="",COUNTIFS(Retention!$A$6:$A$15,B197)&lt;&gt;1),"",INDEX(Retention!$D$6:$D$15,MATCH(B197,Retention!$A$6:$A$15,0)))</x:f>
      </x:c>
      <x:c r="I197" s="10" t="str">
        <x:f>IF(OR(A197="",NOT(ISNUMBER(D197)),NOT(ISNUMBER(G197))),"",IF(G197&lt;1,"",IF(H197="months",EDATE(D197,G197),IF(H197="days",D197+G197,""))))</x:f>
      </x:c>
      <x:c r="J197" s="8" t="str">
        <x:f>IF(A197="","",IF(COUNTIFS(Retention!$A$6:$A$15,B197)&lt;&gt;1,"Check category",IF(NOT(ISNUMBER(D197)),"Set start date",IF(NOT(ISNUMBER(I197)),"Check rule",IF(AND(E197&lt;&gt;"Yes",E197&lt;&gt;"No"),"Set hold flag",IF(E197="Yes","Hold",IF(AND(K197&lt;&gt;"",ISNUMBER(L197),M197&lt;&gt;""),"Review recorded",IF(OR(K197&lt;&gt;"",L197&lt;&gt;"",M197&lt;&gt;""),"Complete review details",IF(I197&lt;=TODAY(),"Review due","Retain")))))))))</x:f>
      </x:c>
      <x:c r="K197" s="7"/>
      <x:c r="L197" s="9"/>
      <x:c r="M197" s="7"/>
    </x:row>
    <x:row r="198" ht="25" customHeight="1">
      <x:c r="A198" s="7"/>
      <x:c r="B198" s="7"/>
      <x:c r="C198" s="7"/>
      <x:c r="D198" s="9"/>
      <x:c r="E198" s="7"/>
      <x:c r="F198" s="7"/>
      <x:c r="G198" s="8" t="str">
        <x:f>IF(OR(A198="",COUNTIFS(Retention!$A$6:$A$15,B198)&lt;&gt;1),"",INDEX(Retention!$C$6:$C$15,MATCH(B198,Retention!$A$6:$A$15,0)))</x:f>
      </x:c>
      <x:c r="H198" s="8" t="str">
        <x:f>IF(OR(A198="",COUNTIFS(Retention!$A$6:$A$15,B198)&lt;&gt;1),"",INDEX(Retention!$D$6:$D$15,MATCH(B198,Retention!$A$6:$A$15,0)))</x:f>
      </x:c>
      <x:c r="I198" s="10" t="str">
        <x:f>IF(OR(A198="",NOT(ISNUMBER(D198)),NOT(ISNUMBER(G198))),"",IF(G198&lt;1,"",IF(H198="months",EDATE(D198,G198),IF(H198="days",D198+G198,""))))</x:f>
      </x:c>
      <x:c r="J198" s="8" t="str">
        <x:f>IF(A198="","",IF(COUNTIFS(Retention!$A$6:$A$15,B198)&lt;&gt;1,"Check category",IF(NOT(ISNUMBER(D198)),"Set start date",IF(NOT(ISNUMBER(I198)),"Check rule",IF(AND(E198&lt;&gt;"Yes",E198&lt;&gt;"No"),"Set hold flag",IF(E198="Yes","Hold",IF(AND(K198&lt;&gt;"",ISNUMBER(L198),M198&lt;&gt;""),"Review recorded",IF(OR(K198&lt;&gt;"",L198&lt;&gt;"",M198&lt;&gt;""),"Complete review details",IF(I198&lt;=TODAY(),"Review due","Retain")))))))))</x:f>
      </x:c>
      <x:c r="K198" s="7"/>
      <x:c r="L198" s="9"/>
      <x:c r="M198" s="7"/>
    </x:row>
    <x:row r="199" ht="25" customHeight="1">
      <x:c r="A199" s="7"/>
      <x:c r="B199" s="7"/>
      <x:c r="C199" s="7"/>
      <x:c r="D199" s="9"/>
      <x:c r="E199" s="7"/>
      <x:c r="F199" s="7"/>
      <x:c r="G199" s="8" t="str">
        <x:f>IF(OR(A199="",COUNTIFS(Retention!$A$6:$A$15,B199)&lt;&gt;1),"",INDEX(Retention!$C$6:$C$15,MATCH(B199,Retention!$A$6:$A$15,0)))</x:f>
      </x:c>
      <x:c r="H199" s="8" t="str">
        <x:f>IF(OR(A199="",COUNTIFS(Retention!$A$6:$A$15,B199)&lt;&gt;1),"",INDEX(Retention!$D$6:$D$15,MATCH(B199,Retention!$A$6:$A$15,0)))</x:f>
      </x:c>
      <x:c r="I199" s="10" t="str">
        <x:f>IF(OR(A199="",NOT(ISNUMBER(D199)),NOT(ISNUMBER(G199))),"",IF(G199&lt;1,"",IF(H199="months",EDATE(D199,G199),IF(H199="days",D199+G199,""))))</x:f>
      </x:c>
      <x:c r="J199" s="8" t="str">
        <x:f>IF(A199="","",IF(COUNTIFS(Retention!$A$6:$A$15,B199)&lt;&gt;1,"Check category",IF(NOT(ISNUMBER(D199)),"Set start date",IF(NOT(ISNUMBER(I199)),"Check rule",IF(AND(E199&lt;&gt;"Yes",E199&lt;&gt;"No"),"Set hold flag",IF(E199="Yes","Hold",IF(AND(K199&lt;&gt;"",ISNUMBER(L199),M199&lt;&gt;""),"Review recorded",IF(OR(K199&lt;&gt;"",L199&lt;&gt;"",M199&lt;&gt;""),"Complete review details",IF(I199&lt;=TODAY(),"Review due","Retain")))))))))</x:f>
      </x:c>
      <x:c r="K199" s="7"/>
      <x:c r="L199" s="9"/>
      <x:c r="M199" s="7"/>
    </x:row>
    <x:row r="200" ht="25" customHeight="1">
      <x:c r="A200" s="7"/>
      <x:c r="B200" s="7"/>
      <x:c r="C200" s="7"/>
      <x:c r="D200" s="9"/>
      <x:c r="E200" s="7"/>
      <x:c r="F200" s="7"/>
      <x:c r="G200" s="8" t="str">
        <x:f>IF(OR(A200="",COUNTIFS(Retention!$A$6:$A$15,B200)&lt;&gt;1),"",INDEX(Retention!$C$6:$C$15,MATCH(B200,Retention!$A$6:$A$15,0)))</x:f>
      </x:c>
      <x:c r="H200" s="8" t="str">
        <x:f>IF(OR(A200="",COUNTIFS(Retention!$A$6:$A$15,B200)&lt;&gt;1),"",INDEX(Retention!$D$6:$D$15,MATCH(B200,Retention!$A$6:$A$15,0)))</x:f>
      </x:c>
      <x:c r="I200" s="10" t="str">
        <x:f>IF(OR(A200="",NOT(ISNUMBER(D200)),NOT(ISNUMBER(G200))),"",IF(G200&lt;1,"",IF(H200="months",EDATE(D200,G200),IF(H200="days",D200+G200,""))))</x:f>
      </x:c>
      <x:c r="J200" s="8" t="str">
        <x:f>IF(A200="","",IF(COUNTIFS(Retention!$A$6:$A$15,B200)&lt;&gt;1,"Check category",IF(NOT(ISNUMBER(D200)),"Set start date",IF(NOT(ISNUMBER(I200)),"Check rule",IF(AND(E200&lt;&gt;"Yes",E200&lt;&gt;"No"),"Set hold flag",IF(E200="Yes","Hold",IF(AND(K200&lt;&gt;"",ISNUMBER(L200),M200&lt;&gt;""),"Review recorded",IF(OR(K200&lt;&gt;"",L200&lt;&gt;"",M200&lt;&gt;""),"Complete review details",IF(I200&lt;=TODAY(),"Review due","Retain")))))))))</x:f>
      </x:c>
      <x:c r="K200" s="7"/>
      <x:c r="L200" s="9"/>
      <x:c r="M200" s="7"/>
    </x:row>
    <x:row r="201" ht="25" customHeight="1">
      <x:c r="A201" s="7"/>
      <x:c r="B201" s="7"/>
      <x:c r="C201" s="7"/>
      <x:c r="D201" s="9"/>
      <x:c r="E201" s="7"/>
      <x:c r="F201" s="7"/>
      <x:c r="G201" s="8" t="str">
        <x:f>IF(OR(A201="",COUNTIFS(Retention!$A$6:$A$15,B201)&lt;&gt;1),"",INDEX(Retention!$C$6:$C$15,MATCH(B201,Retention!$A$6:$A$15,0)))</x:f>
      </x:c>
      <x:c r="H201" s="8" t="str">
        <x:f>IF(OR(A201="",COUNTIFS(Retention!$A$6:$A$15,B201)&lt;&gt;1),"",INDEX(Retention!$D$6:$D$15,MATCH(B201,Retention!$A$6:$A$15,0)))</x:f>
      </x:c>
      <x:c r="I201" s="10" t="str">
        <x:f>IF(OR(A201="",NOT(ISNUMBER(D201)),NOT(ISNUMBER(G201))),"",IF(G201&lt;1,"",IF(H201="months",EDATE(D201,G201),IF(H201="days",D201+G201,""))))</x:f>
      </x:c>
      <x:c r="J201" s="8" t="str">
        <x:f>IF(A201="","",IF(COUNTIFS(Retention!$A$6:$A$15,B201)&lt;&gt;1,"Check category",IF(NOT(ISNUMBER(D201)),"Set start date",IF(NOT(ISNUMBER(I201)),"Check rule",IF(AND(E201&lt;&gt;"Yes",E201&lt;&gt;"No"),"Set hold flag",IF(E201="Yes","Hold",IF(AND(K201&lt;&gt;"",ISNUMBER(L201),M201&lt;&gt;""),"Review recorded",IF(OR(K201&lt;&gt;"",L201&lt;&gt;"",M201&lt;&gt;""),"Complete review details",IF(I201&lt;=TODAY(),"Review due","Retain")))))))))</x:f>
      </x:c>
      <x:c r="K201" s="7"/>
      <x:c r="L201" s="9"/>
      <x:c r="M201" s="7"/>
    </x:row>
    <x:row r="202" ht="25" customHeight="1">
      <x:c r="A202" s="7"/>
      <x:c r="B202" s="7"/>
      <x:c r="C202" s="7"/>
      <x:c r="D202" s="9"/>
      <x:c r="E202" s="7"/>
      <x:c r="F202" s="7"/>
      <x:c r="G202" s="8" t="str">
        <x:f>IF(OR(A202="",COUNTIFS(Retention!$A$6:$A$15,B202)&lt;&gt;1),"",INDEX(Retention!$C$6:$C$15,MATCH(B202,Retention!$A$6:$A$15,0)))</x:f>
      </x:c>
      <x:c r="H202" s="8" t="str">
        <x:f>IF(OR(A202="",COUNTIFS(Retention!$A$6:$A$15,B202)&lt;&gt;1),"",INDEX(Retention!$D$6:$D$15,MATCH(B202,Retention!$A$6:$A$15,0)))</x:f>
      </x:c>
      <x:c r="I202" s="10" t="str">
        <x:f>IF(OR(A202="",NOT(ISNUMBER(D202)),NOT(ISNUMBER(G202))),"",IF(G202&lt;1,"",IF(H202="months",EDATE(D202,G202),IF(H202="days",D202+G202,""))))</x:f>
      </x:c>
      <x:c r="J202" s="8" t="str">
        <x:f>IF(A202="","",IF(COUNTIFS(Retention!$A$6:$A$15,B202)&lt;&gt;1,"Check category",IF(NOT(ISNUMBER(D202)),"Set start date",IF(NOT(ISNUMBER(I202)),"Check rule",IF(AND(E202&lt;&gt;"Yes",E202&lt;&gt;"No"),"Set hold flag",IF(E202="Yes","Hold",IF(AND(K202&lt;&gt;"",ISNUMBER(L202),M202&lt;&gt;""),"Review recorded",IF(OR(K202&lt;&gt;"",L202&lt;&gt;"",M202&lt;&gt;""),"Complete review details",IF(I202&lt;=TODAY(),"Review due","Retain")))))))))</x:f>
      </x:c>
      <x:c r="K202" s="7"/>
      <x:c r="L202" s="9"/>
      <x:c r="M202" s="7"/>
    </x:row>
    <x:row r="203" ht="25" customHeight="1">
      <x:c r="A203" s="7"/>
      <x:c r="B203" s="7"/>
      <x:c r="C203" s="7"/>
      <x:c r="D203" s="9"/>
      <x:c r="E203" s="7"/>
      <x:c r="F203" s="7"/>
      <x:c r="G203" s="8" t="str">
        <x:f>IF(OR(A203="",COUNTIFS(Retention!$A$6:$A$15,B203)&lt;&gt;1),"",INDEX(Retention!$C$6:$C$15,MATCH(B203,Retention!$A$6:$A$15,0)))</x:f>
      </x:c>
      <x:c r="H203" s="8" t="str">
        <x:f>IF(OR(A203="",COUNTIFS(Retention!$A$6:$A$15,B203)&lt;&gt;1),"",INDEX(Retention!$D$6:$D$15,MATCH(B203,Retention!$A$6:$A$15,0)))</x:f>
      </x:c>
      <x:c r="I203" s="10" t="str">
        <x:f>IF(OR(A203="",NOT(ISNUMBER(D203)),NOT(ISNUMBER(G203))),"",IF(G203&lt;1,"",IF(H203="months",EDATE(D203,G203),IF(H203="days",D203+G203,""))))</x:f>
      </x:c>
      <x:c r="J203" s="8" t="str">
        <x:f>IF(A203="","",IF(COUNTIFS(Retention!$A$6:$A$15,B203)&lt;&gt;1,"Check category",IF(NOT(ISNUMBER(D203)),"Set start date",IF(NOT(ISNUMBER(I203)),"Check rule",IF(AND(E203&lt;&gt;"Yes",E203&lt;&gt;"No"),"Set hold flag",IF(E203="Yes","Hold",IF(AND(K203&lt;&gt;"",ISNUMBER(L203),M203&lt;&gt;""),"Review recorded",IF(OR(K203&lt;&gt;"",L203&lt;&gt;"",M203&lt;&gt;""),"Complete review details",IF(I203&lt;=TODAY(),"Review due","Retain")))))))))</x:f>
      </x:c>
      <x:c r="K203" s="7"/>
      <x:c r="L203" s="9"/>
      <x:c r="M203" s="7"/>
    </x:row>
    <x:row r="204" ht="25" customHeight="1">
      <x:c r="A204" s="7"/>
      <x:c r="B204" s="7"/>
      <x:c r="C204" s="7"/>
      <x:c r="D204" s="9"/>
      <x:c r="E204" s="7"/>
      <x:c r="F204" s="7"/>
      <x:c r="G204" s="8" t="str">
        <x:f>IF(OR(A204="",COUNTIFS(Retention!$A$6:$A$15,B204)&lt;&gt;1),"",INDEX(Retention!$C$6:$C$15,MATCH(B204,Retention!$A$6:$A$15,0)))</x:f>
      </x:c>
      <x:c r="H204" s="8" t="str">
        <x:f>IF(OR(A204="",COUNTIFS(Retention!$A$6:$A$15,B204)&lt;&gt;1),"",INDEX(Retention!$D$6:$D$15,MATCH(B204,Retention!$A$6:$A$15,0)))</x:f>
      </x:c>
      <x:c r="I204" s="10" t="str">
        <x:f>IF(OR(A204="",NOT(ISNUMBER(D204)),NOT(ISNUMBER(G204))),"",IF(G204&lt;1,"",IF(H204="months",EDATE(D204,G204),IF(H204="days",D204+G204,""))))</x:f>
      </x:c>
      <x:c r="J204" s="8" t="str">
        <x:f>IF(A204="","",IF(COUNTIFS(Retention!$A$6:$A$15,B204)&lt;&gt;1,"Check category",IF(NOT(ISNUMBER(D204)),"Set start date",IF(NOT(ISNUMBER(I204)),"Check rule",IF(AND(E204&lt;&gt;"Yes",E204&lt;&gt;"No"),"Set hold flag",IF(E204="Yes","Hold",IF(AND(K204&lt;&gt;"",ISNUMBER(L204),M204&lt;&gt;""),"Review recorded",IF(OR(K204&lt;&gt;"",L204&lt;&gt;"",M204&lt;&gt;""),"Complete review details",IF(I204&lt;=TODAY(),"Review due","Retain")))))))))</x:f>
      </x:c>
      <x:c r="K204" s="7"/>
      <x:c r="L204" s="9"/>
      <x:c r="M204" s="7"/>
    </x:row>
    <x:row r="205" ht="25" customHeight="1">
      <x:c r="A205" s="7"/>
      <x:c r="B205" s="7"/>
      <x:c r="C205" s="7"/>
      <x:c r="D205" s="9"/>
      <x:c r="E205" s="7"/>
      <x:c r="F205" s="7"/>
      <x:c r="G205" s="8" t="str">
        <x:f>IF(OR(A205="",COUNTIFS(Retention!$A$6:$A$15,B205)&lt;&gt;1),"",INDEX(Retention!$C$6:$C$15,MATCH(B205,Retention!$A$6:$A$15,0)))</x:f>
      </x:c>
      <x:c r="H205" s="8" t="str">
        <x:f>IF(OR(A205="",COUNTIFS(Retention!$A$6:$A$15,B205)&lt;&gt;1),"",INDEX(Retention!$D$6:$D$15,MATCH(B205,Retention!$A$6:$A$15,0)))</x:f>
      </x:c>
      <x:c r="I205" s="10" t="str">
        <x:f>IF(OR(A205="",NOT(ISNUMBER(D205)),NOT(ISNUMBER(G205))),"",IF(G205&lt;1,"",IF(H205="months",EDATE(D205,G205),IF(H205="days",D205+G205,""))))</x:f>
      </x:c>
      <x:c r="J205" s="8" t="str">
        <x:f>IF(A205="","",IF(COUNTIFS(Retention!$A$6:$A$15,B205)&lt;&gt;1,"Check category",IF(NOT(ISNUMBER(D205)),"Set start date",IF(NOT(ISNUMBER(I205)),"Check rule",IF(AND(E205&lt;&gt;"Yes",E205&lt;&gt;"No"),"Set hold flag",IF(E205="Yes","Hold",IF(AND(K205&lt;&gt;"",ISNUMBER(L205),M205&lt;&gt;""),"Review recorded",IF(OR(K205&lt;&gt;"",L205&lt;&gt;"",M205&lt;&gt;""),"Complete review details",IF(I205&lt;=TODAY(),"Review due","Retain")))))))))</x:f>
      </x:c>
      <x:c r="K205" s="7"/>
      <x:c r="L205" s="9"/>
      <x:c r="M205" s="7"/>
    </x:row>
  </x:sheetData>
  <x:conditionalFormatting sqref="J6:J205">
    <x:cfRule type="containsText" dxfId="0" priority="1" operator="containsText" text="Review due"/>
    <x:cfRule type="containsText" dxfId="1" priority="2" operator="containsText" text="Hold"/>
  </x:conditionalFormatting>
  <x:dataValidations count="3">
    <x:dataValidation type="list" sqref="B6:B205">
      <x:formula1>"enquiries,bookings,payments,acceptances,trip_details,privacy_requests,inactive_accounts,security_logs,analytics,backups"</x:formula1>
    </x:dataValidation>
    <x:dataValidation type="list" sqref="E6:E205">
      <x:formula1>"No,Yes"</x:formula1>
    </x:dataValidation>
    <x:dataValidation type="list" sqref="K6:K205">
      <x:formula1>"Imran,Antony"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607765ce3647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60" hidden="0" customWidth="1"/>
    <x:col min="3" max="3" width="10" hidden="0" customWidth="1"/>
    <x:col min="4" max="4" width="12" hidden="0" customWidth="1"/>
    <x:col min="5" max="5" width="50" hidden="0" customWidth="1"/>
    <x:col min="6" max="6" width="50" hidden="0" customWidth="1"/>
    <x:col min="7" max="7" width="3" hidden="0" customWidth="1"/>
    <x:col min="8" max="8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Retention rules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Snapshot</x:v>
      </x:c>
      <x:c r="B3" s="1" t="str">
        <x:v>Created 2026-10-12</x:v>
      </x:c>
      <x:c r="C3" s="1"/>
      <x:c r="D3" s="1"/>
      <x:c r="E3" s="1"/>
      <x:c r="F3" s="1"/>
      <x:c r="G3" s="1"/>
      <x:c r="H3" s="1"/>
    </x:row>
    <x:row r="4">
      <x:c r="A4" s="1" t="str">
        <x:v>Revision</x:v>
      </x:c>
      <x:c r="B4" s="1" t="str">
        <x:v>7303b8dc20ec4565</x:v>
      </x:c>
      <x:c r="C4" s="1"/>
      <x:c r="D4" s="1"/>
      <x:c r="E4" s="1"/>
      <x:c r="F4" s="1"/>
      <x:c r="G4" s="1"/>
      <x:c r="H4" s="1"/>
    </x:row>
    <x:row r="5" ht="30" customHeight="1">
      <x:c r="A5" s="5" t="str">
        <x:v>Category</x:v>
      </x:c>
      <x:c r="B5" s="5" t="str">
        <x:v>Record type</x:v>
      </x:c>
      <x:c r="C5" s="5" t="str">
        <x:v>Period</x:v>
      </x:c>
      <x:c r="D5" s="5" t="str">
        <x:v>Unit</x:v>
      </x:c>
      <x:c r="E5" s="5" t="str">
        <x:v>Start counting from</x:v>
      </x:c>
      <x:c r="F5" s="5" t="str">
        <x:v>Research / purpose</x:v>
      </x:c>
      <x:c r="G5" s="1"/>
      <x:c r="H5" s="1" t="str">
        <x:v>Source</x:v>
      </x:c>
    </x:row>
    <x:row r="6" ht="52" customHeight="1">
      <x:c r="A6" s="1" t="str">
        <x:v>enquiries</x:v>
      </x:c>
      <x:c r="B6" s="1" t="str">
        <x:v>Unsuccessful enquiries</x:v>
      </x:c>
      <x:c r="C6" s="7" t="n">
        <x:v>6</x:v>
      </x:c>
      <x:c r="D6" s="7" t="str">
        <x:v>months</x:v>
      </x:c>
      <x:c r="E6" s="12" t="str">
        <x:v>Enquiry closed or last substantive reply, whichever is later</x:v>
      </x:c>
      <x:c r="F6" s="11" t="str">
        <x:v>Short enquiry follow-up window; DPA six-month enquiry example</x:v>
      </x:c>
      <x:c r="G6" s="1"/>
      <x:c r="H6" s="11" t="str">
        <x:v>https://dpa.gov.lk/notice.php</x:v>
      </x:c>
    </x:row>
    <x:row r="7" ht="52" customHeight="1">
      <x:c r="A7" s="1" t="str">
        <x:v>bookings</x:v>
      </x:c>
      <x:c r="B7" s="1" t="str">
        <x:v>Core booking records</x:v>
      </x:c>
      <x:c r="C7" s="7" t="n">
        <x:v>60</x:v>
      </x:c>
      <x:c r="D7" s="7" t="str">
        <x:v>months</x:v>
      </x:c>
      <x:c r="E7" s="12" t="str">
        <x:v>Later of trip end, booking closure and final settlement</x:v>
      </x:c>
      <x:c r="F7" s="11" t="str">
        <x:v>Core contract/accounting evidence; five-year starting point, extend for obligations</x:v>
      </x:c>
      <x:c r="G7" s="1"/>
      <x:c r="H7" s="11" t="str">
        <x:v>https://www.ird.gov.lk/en/publications/Acts_Income%20Tax_2017/IR_Act_No_24_2017_E.pdf</x:v>
      </x:c>
    </x:row>
    <x:row r="8" ht="52" customHeight="1">
      <x:c r="A8" s="1" t="str">
        <x:v>payments</x:v>
      </x:c>
      <x:c r="B8" s="1" t="str">
        <x:v>Payments and refunds</x:v>
      </x:c>
      <x:c r="C8" s="7" t="n">
        <x:v>60</x:v>
      </x:c>
      <x:c r="D8" s="7" t="str">
        <x:v>months</x:v>
      </x:c>
      <x:c r="E8" s="12" t="str">
        <x:v>Transaction date or final settlement, whichever is later</x:v>
      </x:c>
      <x:c r="F8" s="11" t="str">
        <x:v>Tax/source records; section 120(6), with longer assessment/proceeding holds</x:v>
      </x:c>
      <x:c r="G8" s="1"/>
      <x:c r="H8" s="11" t="str">
        <x:v>https://www.ird.gov.lk/en/publications/Acts_Income%20Tax_2017/IR_Act_No_24_2017_E.pdf</x:v>
      </x:c>
    </x:row>
    <x:row r="9" ht="52" customHeight="1">
      <x:c r="A9" s="1" t="str">
        <x:v>acceptances</x:v>
      </x:c>
      <x:c r="B9" s="1" t="str">
        <x:v>Policy acceptance evidence</x:v>
      </x:c>
      <x:c r="C9" s="7" t="n">
        <x:v>60</x:v>
      </x:c>
      <x:c r="D9" s="7" t="str">
        <x:v>months</x:v>
      </x:c>
      <x:c r="E9" s="12" t="str">
        <x:v>Booking closure or final settlement, whichever is later</x:v>
      </x:c>
      <x:c r="F9" s="11" t="str">
        <x:v>Proposed alignment with core booking evidence; not a statutory universal period</x:v>
      </x:c>
      <x:c r="G9" s="1"/>
      <x:c r="H9" s="11" t="str">
        <x:v>Business review default</x:v>
      </x:c>
    </x:row>
    <x:row r="10" ht="52" customHeight="1">
      <x:c r="A10" s="1" t="str">
        <x:v>trip_details</x:v>
      </x:c>
      <x:c r="B10" s="1" t="str">
        <x:v>Extra trip logistics</x:v>
      </x:c>
      <x:c r="C10" s="7" t="n">
        <x:v>3</x:v>
      </x:c>
      <x:c r="D10" s="7" t="str">
        <x:v>months</x:v>
      </x:c>
      <x:c r="E10" s="12" t="str">
        <x:v>Trip end, once issues are closed</x:v>
      </x:c>
      <x:c r="F10" s="11" t="str">
        <x:v>Proposed minimisation of unnecessary operational copies; preserve core evidence</x:v>
      </x:c>
      <x:c r="G10" s="1"/>
      <x:c r="H10" s="11" t="str">
        <x:v>Business review default</x:v>
      </x:c>
    </x:row>
    <x:row r="11" ht="52" customHeight="1">
      <x:c r="A11" s="1" t="str">
        <x:v>privacy_requests</x:v>
      </x:c>
      <x:c r="B11" s="1" t="str">
        <x:v>Privacy request records</x:v>
      </x:c>
      <x:c r="C11" s="7" t="n">
        <x:v>24</x:v>
      </x:c>
      <x:c r="D11" s="7" t="str">
        <x:v>months</x:v>
      </x:c>
      <x:c r="E11" s="12" t="str">
        <x:v>Request resolved and closed</x:v>
      </x:c>
      <x:c r="F11" s="11" t="str">
        <x:v>Proposed request-handling evidence window; extend for unresolved issues</x:v>
      </x:c>
      <x:c r="G11" s="1"/>
      <x:c r="H11" s="11" t="str">
        <x:v>Business review default</x:v>
      </x:c>
    </x:row>
    <x:row r="12" ht="52" customHeight="1">
      <x:c r="A12" s="1" t="str">
        <x:v>inactive_accounts</x:v>
      </x:c>
      <x:c r="B12" s="1" t="str">
        <x:v>Inactive account profiles</x:v>
      </x:c>
      <x:c r="C12" s="7" t="n">
        <x:v>24</x:v>
      </x:c>
      <x:c r="D12" s="7" t="str">
        <x:v>months</x:v>
      </x:c>
      <x:c r="E12" s="12" t="str">
        <x:v>Last meaningful account activity; no open booking or dispute</x:v>
      </x:c>
      <x:c r="F12" s="11" t="str">
        <x:v>Proposed profile review; linked financial/acceptance records follow their own rules</x:v>
      </x:c>
      <x:c r="G12" s="1"/>
      <x:c r="H12" s="11" t="str">
        <x:v>Business review default</x:v>
      </x:c>
    </x:row>
    <x:row r="13" ht="52" customHeight="1">
      <x:c r="A13" s="1" t="str">
        <x:v>security_logs</x:v>
      </x:c>
      <x:c r="B13" s="1" t="str">
        <x:v>Security and IP logs</x:v>
      </x:c>
      <x:c r="C13" s="7" t="n">
        <x:v>90</x:v>
      </x:c>
      <x:c r="D13" s="7" t="str">
        <x:v>days</x:v>
      </x:c>
      <x:c r="E13" s="12" t="str">
        <x:v>Log creation date</x:v>
      </x:c>
      <x:c r="F13" s="11" t="str">
        <x:v>Short technical-log review window; DPA three-month IP example</x:v>
      </x:c>
      <x:c r="G13" s="1"/>
      <x:c r="H13" s="11" t="str">
        <x:v>https://dpa.gov.lk/notice.php</x:v>
      </x:c>
    </x:row>
    <x:row r="14" ht="52" customHeight="1">
      <x:c r="A14" s="1" t="str">
        <x:v>analytics</x:v>
      </x:c>
      <x:c r="B14" s="1" t="str">
        <x:v>First-party analytics</x:v>
      </x:c>
      <x:c r="C14" s="7" t="n">
        <x:v>365</x:v>
      </x:c>
      <x:c r="D14" s="7" t="str">
        <x:v>days</x:v>
      </x:c>
      <x:c r="E14" s="12" t="str">
        <x:v>Event date</x:v>
      </x:c>
      <x:c r="F14" s="11" t="str">
        <x:v>Matches current local setting initially; actual cleaner is separately configured</x:v>
      </x:c>
      <x:c r="G14" s="1"/>
      <x:c r="H14" s="11" t="str">
        <x:v>Existing Admin Analytics Settings</x:v>
      </x:c>
    </x:row>
    <x:row r="15" ht="52" customHeight="1">
      <x:c r="A15" s="1" t="str">
        <x:v>backups</x:v>
      </x:c>
      <x:c r="B15" s="1" t="str">
        <x:v>Rolling backup copies</x:v>
      </x:c>
      <x:c r="C15" s="7" t="n">
        <x:v>90</x:v>
      </x:c>
      <x:c r="D15" s="7" t="str">
        <x:v>days</x:v>
      </x:c>
      <x:c r="E15" s="12" t="str">
        <x:v>Snapshot creation date</x:v>
      </x:c>
      <x:c r="F15" s="11" t="str">
        <x:v>Proposed rolling-copy review; approved archives and recovery evidence need separate rules</x:v>
      </x:c>
      <x:c r="G15" s="1"/>
      <x:c r="H15" s="11" t="str">
        <x:v>Business review default</x:v>
      </x:c>
    </x:row>
    <x:row r="16">
      <x:c r="A16" s="1" t="str">
        <x:v>Draft review schedule; manual disposal approval. Existing analytics cleaner and providers have separate effective settings.</x:v>
      </x:c>
      <x:c r="B16" s="1"/>
      <x:c r="C16" s="1"/>
      <x:c r="D16" s="1"/>
      <x:c r="E16" s="1"/>
      <x:c r="F16" s="1"/>
      <x:c r="G16" s="1"/>
      <x:c r="H16" s="1"/>
    </x:row>
    <x:row r="17">
      <x:c r="A17" s="1" t="str">
        <x:v>Admin is the settings source. This workbook is a snapshot; copy the refreshed Retention sheet into filled working copies.</x:v>
      </x:c>
      <x:c r="B17" s="1"/>
      <x:c r="C17" s="1"/>
      <x:c r="D17" s="1"/>
      <x:c r="E17" s="1"/>
      <x:c r="F17" s="1"/>
      <x:c r="G17" s="1"/>
      <x:c r="H17" s="1"/>
    </x:row>
    <x:row r="18" ht="100" customHeight="1">
      <x:c r="A18" s="1" t="str">
        <x:v>Holds</x:v>
      </x:c>
      <x:c r="B18" s="11" t="str">
        <x:v>Suspend disposal for an open booking, dispute, refund, insurance claim, tax assessment, legal requirement or other documented continuing obligation. Record the reason, owner and next review; release the hold only after review.</x:v>
      </x:c>
      <x:c r="C18" s="11"/>
      <x:c r="D18" s="11"/>
      <x:c r="E18" s="11"/>
      <x:c r="F18" s="1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 ht="100" customHeight="1">
      <x:c r="A20" s="1" t="str">
        <x:v>Copies</x:v>
      </x:c>
      <x:c r="B20" s="11" t="str">
        <x:v>Email and spreadsheet copies follow the same record category and start date as the original. Where categories overlap, use the later justified review date. Remove unnecessary extra copies; do not shorten financial or acceptance evidence by classifying it as ordinary correspondence.</x:v>
      </x:c>
      <x:c r="C20" s="11"/>
      <x:c r="D20" s="11"/>
      <x:c r="E20" s="11"/>
      <x:c r="F20" s="1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 ht="100" customHeight="1">
      <x:c r="A22" s="1" t="str">
        <x:v>Storage</x:v>
      </x:c>
      <x:c r="B22" s="11" t="str">
        <x:v>Use the private local template and keep filled copies in an access-controlled location outside public web paths and Git. Record reference IDs and copy locations instead of duplicating passport, health, bank or other unnecessary personal details. Imran is primary; Antony is backup.</x:v>
      </x:c>
      <x:c r="C22" s="11"/>
      <x:c r="D22" s="11"/>
      <x:c r="E22" s="11"/>
      <x:c r="F22" s="1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</x:sheetData>
  <x:dataValidations count="2">
    <x:dataValidation type="whole" operator="between" sqref="C6:C15">
      <x:formula1>1</x:formula1>
      <x:formula2>36500</x:formula2>
    </x:dataValidation>
    <x:dataValidation type="list" sqref="D6:D15">
      <x:formula1>"months,days"</x:formula1>
    </x:dataValidation>
  </x:dataValidations>
  <x:pageMargins left="0.7" right="0.7" top="0.75" bottom="0.75" header="0.3" footer="0.3"/>
</x:worksheet>
</file>